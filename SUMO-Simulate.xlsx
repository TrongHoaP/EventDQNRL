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gnguyen-tnk/Downloads/"/>
    </mc:Choice>
  </mc:AlternateContent>
  <xr:revisionPtr revIDLastSave="0" documentId="13_ncr:1_{C38D744D-9C65-DF43-9596-9B89F3531995}" xr6:coauthVersionLast="47" xr6:coauthVersionMax="47" xr10:uidLastSave="{00000000-0000-0000-0000-000000000000}"/>
  <bookViews>
    <workbookView xWindow="0" yWindow="0" windowWidth="28800" windowHeight="18000" xr2:uid="{A21E8DCF-717F-AD44-9060-8240559C1DDA}"/>
  </bookViews>
  <sheets>
    <sheet name="thiết lập khung thời gi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69" i="1" l="1"/>
  <c r="BC68" i="1"/>
  <c r="BC67" i="1"/>
  <c r="BC66" i="1"/>
  <c r="BC65" i="1"/>
  <c r="BC64" i="1"/>
  <c r="BC63" i="1"/>
  <c r="BC62" i="1"/>
  <c r="BC61" i="1"/>
  <c r="BD70" i="1"/>
  <c r="BD69" i="1"/>
  <c r="BD68" i="1"/>
  <c r="BD67" i="1"/>
  <c r="BD66" i="1"/>
  <c r="BD65" i="1"/>
  <c r="BD64" i="1"/>
  <c r="BD63" i="1"/>
  <c r="BD62" i="1"/>
  <c r="BD61" i="1"/>
  <c r="BD60" i="1"/>
  <c r="BA69" i="1"/>
  <c r="BA68" i="1"/>
  <c r="BA67" i="1"/>
  <c r="BA66" i="1"/>
  <c r="BA65" i="1"/>
  <c r="BA64" i="1"/>
  <c r="BA63" i="1"/>
  <c r="BA62" i="1"/>
  <c r="BA61" i="1"/>
  <c r="BB70" i="1"/>
  <c r="BB69" i="1"/>
  <c r="BB68" i="1"/>
  <c r="BB67" i="1"/>
  <c r="BB66" i="1"/>
  <c r="BB65" i="1"/>
  <c r="BB64" i="1"/>
  <c r="BB63" i="1"/>
  <c r="BB62" i="1"/>
  <c r="BB61" i="1"/>
  <c r="BB60" i="1"/>
  <c r="AY69" i="1"/>
  <c r="AY68" i="1"/>
  <c r="AY67" i="1"/>
  <c r="AY66" i="1"/>
  <c r="AY65" i="1"/>
  <c r="AY64" i="1"/>
  <c r="AY63" i="1"/>
  <c r="AY62" i="1"/>
  <c r="AY61" i="1"/>
  <c r="AZ70" i="1"/>
  <c r="AZ69" i="1"/>
  <c r="AZ68" i="1"/>
  <c r="AZ67" i="1"/>
  <c r="AZ66" i="1"/>
  <c r="AZ65" i="1"/>
  <c r="AZ64" i="1"/>
  <c r="AZ63" i="1"/>
  <c r="AZ62" i="1"/>
  <c r="AZ61" i="1"/>
  <c r="AZ60" i="1"/>
  <c r="AX70" i="1"/>
  <c r="AX69" i="1"/>
  <c r="AW69" i="1"/>
  <c r="AX68" i="1"/>
  <c r="AW68" i="1"/>
  <c r="AX67" i="1"/>
  <c r="AW67" i="1"/>
  <c r="AX66" i="1"/>
  <c r="AW66" i="1"/>
  <c r="AX65" i="1"/>
  <c r="AW65" i="1"/>
  <c r="AX64" i="1"/>
  <c r="AW64" i="1"/>
  <c r="AX63" i="1"/>
  <c r="AW63" i="1"/>
  <c r="AX62" i="1"/>
  <c r="AW62" i="1"/>
  <c r="AX61" i="1"/>
  <c r="AW61" i="1"/>
  <c r="AX60" i="1"/>
  <c r="AS69" i="1"/>
  <c r="AS68" i="1"/>
  <c r="AS67" i="1"/>
  <c r="AS66" i="1"/>
  <c r="AS65" i="1"/>
  <c r="AS64" i="1"/>
  <c r="AS63" i="1"/>
  <c r="AS62" i="1"/>
  <c r="AS61" i="1"/>
  <c r="AT70" i="1"/>
  <c r="AT69" i="1"/>
  <c r="AT68" i="1"/>
  <c r="AT67" i="1"/>
  <c r="AT66" i="1"/>
  <c r="AT65" i="1"/>
  <c r="AT64" i="1"/>
  <c r="AT63" i="1"/>
  <c r="AT62" i="1"/>
  <c r="AT61" i="1"/>
  <c r="AT60" i="1"/>
  <c r="AQ69" i="1"/>
  <c r="AQ68" i="1"/>
  <c r="AQ67" i="1"/>
  <c r="AQ66" i="1"/>
  <c r="AQ65" i="1"/>
  <c r="AQ64" i="1"/>
  <c r="AQ63" i="1"/>
  <c r="AQ62" i="1"/>
  <c r="AQ61" i="1"/>
  <c r="AR70" i="1"/>
  <c r="AR69" i="1"/>
  <c r="AR68" i="1"/>
  <c r="AR67" i="1"/>
  <c r="AR66" i="1"/>
  <c r="AR65" i="1"/>
  <c r="AR64" i="1"/>
  <c r="AR63" i="1"/>
  <c r="AR62" i="1"/>
  <c r="AR61" i="1"/>
  <c r="AR60" i="1"/>
  <c r="AO69" i="1"/>
  <c r="AO68" i="1"/>
  <c r="AO67" i="1"/>
  <c r="AO66" i="1"/>
  <c r="AO65" i="1"/>
  <c r="AO64" i="1"/>
  <c r="AO63" i="1"/>
  <c r="AO62" i="1"/>
  <c r="AO61" i="1"/>
  <c r="AP70" i="1"/>
  <c r="AP69" i="1"/>
  <c r="AP68" i="1"/>
  <c r="AP67" i="1"/>
  <c r="AP66" i="1"/>
  <c r="AP65" i="1"/>
  <c r="AP64" i="1"/>
  <c r="AP63" i="1"/>
  <c r="AP62" i="1"/>
  <c r="AP61" i="1"/>
  <c r="AP60" i="1"/>
  <c r="AM69" i="1"/>
  <c r="AM68" i="1"/>
  <c r="AM67" i="1"/>
  <c r="AM66" i="1"/>
  <c r="AM65" i="1"/>
  <c r="AM64" i="1"/>
  <c r="AM63" i="1"/>
  <c r="AM62" i="1"/>
  <c r="AM61" i="1"/>
  <c r="AN70" i="1"/>
  <c r="AN69" i="1"/>
  <c r="AN68" i="1"/>
  <c r="AN67" i="1"/>
  <c r="AN66" i="1"/>
  <c r="AN65" i="1"/>
  <c r="AN64" i="1"/>
  <c r="AN63" i="1"/>
  <c r="AN62" i="1"/>
  <c r="AN61" i="1"/>
  <c r="AN60" i="1"/>
  <c r="AE69" i="1"/>
  <c r="AE68" i="1"/>
  <c r="AE67" i="1"/>
  <c r="AE66" i="1"/>
  <c r="AE65" i="1"/>
  <c r="AE64" i="1"/>
  <c r="AE63" i="1"/>
  <c r="AE62" i="1"/>
  <c r="AE61" i="1"/>
  <c r="AF70" i="1"/>
  <c r="AF69" i="1"/>
  <c r="AF68" i="1"/>
  <c r="AF67" i="1"/>
  <c r="AF66" i="1"/>
  <c r="AF65" i="1"/>
  <c r="AF64" i="1"/>
  <c r="AF63" i="1"/>
  <c r="AF62" i="1"/>
  <c r="AF61" i="1"/>
  <c r="AF60" i="1"/>
  <c r="AC69" i="1"/>
  <c r="AC68" i="1"/>
  <c r="AC67" i="1"/>
  <c r="AC66" i="1"/>
  <c r="AC65" i="1"/>
  <c r="AC64" i="1"/>
  <c r="AC63" i="1"/>
  <c r="AC62" i="1"/>
  <c r="AC61" i="1"/>
  <c r="AD70" i="1"/>
  <c r="AD69" i="1"/>
  <c r="AD68" i="1"/>
  <c r="AD67" i="1"/>
  <c r="AD66" i="1"/>
  <c r="AD65" i="1"/>
  <c r="AD64" i="1"/>
  <c r="AD63" i="1"/>
  <c r="AD62" i="1"/>
  <c r="AD61" i="1"/>
  <c r="AD60" i="1"/>
  <c r="AA69" i="1"/>
  <c r="AA68" i="1"/>
  <c r="AA67" i="1"/>
  <c r="AA66" i="1"/>
  <c r="AA65" i="1"/>
  <c r="AA64" i="1"/>
  <c r="AA63" i="1"/>
  <c r="AA62" i="1"/>
  <c r="AB70" i="1"/>
  <c r="AB69" i="1"/>
  <c r="AB68" i="1"/>
  <c r="AB67" i="1"/>
  <c r="AB66" i="1"/>
  <c r="AB65" i="1"/>
  <c r="AB64" i="1"/>
  <c r="AB63" i="1"/>
  <c r="AB62" i="1"/>
  <c r="AB61" i="1"/>
  <c r="AB60" i="1"/>
  <c r="AA70" i="1"/>
  <c r="AA61" i="1"/>
  <c r="P70" i="1"/>
  <c r="P69" i="1"/>
  <c r="P68" i="1"/>
  <c r="P67" i="1"/>
  <c r="P66" i="1"/>
  <c r="P65" i="1"/>
  <c r="P64" i="1"/>
  <c r="P63" i="1"/>
  <c r="P62" i="1"/>
  <c r="P61" i="1"/>
  <c r="O69" i="1"/>
  <c r="O68" i="1"/>
  <c r="O67" i="1"/>
  <c r="O66" i="1"/>
  <c r="O65" i="1"/>
  <c r="O64" i="1"/>
  <c r="O63" i="1"/>
  <c r="O62" i="1"/>
  <c r="O61" i="1"/>
  <c r="P60" i="1"/>
  <c r="X70" i="1"/>
  <c r="X69" i="1"/>
  <c r="X68" i="1"/>
  <c r="X67" i="1"/>
  <c r="X66" i="1"/>
  <c r="X65" i="1"/>
  <c r="X64" i="1"/>
  <c r="X63" i="1"/>
  <c r="X62" i="1"/>
  <c r="W69" i="1"/>
  <c r="W68" i="1"/>
  <c r="W67" i="1"/>
  <c r="W66" i="1"/>
  <c r="W65" i="1"/>
  <c r="W64" i="1"/>
  <c r="W63" i="1"/>
  <c r="W62" i="1"/>
  <c r="X61" i="1"/>
  <c r="W61" i="1"/>
  <c r="X60" i="1"/>
  <c r="U69" i="1"/>
  <c r="U68" i="1"/>
  <c r="U67" i="1"/>
  <c r="U66" i="1"/>
  <c r="U65" i="1"/>
  <c r="U64" i="1"/>
  <c r="U63" i="1"/>
  <c r="U62" i="1"/>
  <c r="V70" i="1"/>
  <c r="V69" i="1"/>
  <c r="V68" i="1"/>
  <c r="V67" i="1"/>
  <c r="V66" i="1"/>
  <c r="V65" i="1"/>
  <c r="V64" i="1"/>
  <c r="V63" i="1"/>
  <c r="V62" i="1"/>
  <c r="V61" i="1"/>
  <c r="U61" i="1"/>
  <c r="V60" i="1"/>
  <c r="T70" i="1"/>
  <c r="T69" i="1"/>
  <c r="T68" i="1"/>
  <c r="T67" i="1"/>
  <c r="T66" i="1"/>
  <c r="T65" i="1"/>
  <c r="T64" i="1"/>
  <c r="S69" i="1"/>
  <c r="S68" i="1"/>
  <c r="S67" i="1"/>
  <c r="S66" i="1"/>
  <c r="S65" i="1"/>
  <c r="S64" i="1"/>
  <c r="S63" i="1"/>
  <c r="T63" i="1"/>
  <c r="T62" i="1"/>
  <c r="S62" i="1"/>
  <c r="T61" i="1"/>
  <c r="S61" i="1"/>
  <c r="T60" i="1"/>
  <c r="Q69" i="1"/>
  <c r="Q68" i="1"/>
  <c r="Q67" i="1"/>
  <c r="Q66" i="1"/>
  <c r="Q65" i="1"/>
  <c r="Q64" i="1"/>
  <c r="Q63" i="1"/>
  <c r="Q62" i="1"/>
  <c r="R70" i="1"/>
  <c r="R69" i="1"/>
  <c r="R68" i="1"/>
  <c r="R67" i="1"/>
  <c r="R66" i="1"/>
  <c r="R65" i="1"/>
  <c r="R64" i="1"/>
  <c r="R63" i="1"/>
  <c r="R62" i="1"/>
  <c r="R61" i="1"/>
  <c r="Q61" i="1"/>
  <c r="R60" i="1"/>
  <c r="Z70" i="1"/>
  <c r="Q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H61" i="1"/>
  <c r="G61" i="1"/>
  <c r="H60" i="1"/>
  <c r="N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M61" i="1"/>
  <c r="N61" i="1"/>
  <c r="N60" i="1"/>
  <c r="L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J70" i="1"/>
  <c r="J69" i="1"/>
  <c r="I69" i="1"/>
  <c r="J68" i="1"/>
  <c r="I68" i="1"/>
  <c r="J67" i="1"/>
  <c r="I67" i="1"/>
  <c r="J66" i="1"/>
  <c r="I66" i="1"/>
  <c r="J65" i="1"/>
  <c r="I65" i="1"/>
  <c r="I61" i="1"/>
  <c r="J64" i="1"/>
  <c r="I64" i="1"/>
  <c r="J63" i="1"/>
  <c r="I63" i="1"/>
  <c r="J62" i="1"/>
  <c r="I62" i="1"/>
  <c r="J61" i="1"/>
  <c r="J60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I23" i="1"/>
  <c r="F41" i="1" s="1"/>
  <c r="F51" i="1" s="1"/>
  <c r="G23" i="1"/>
  <c r="E41" i="1" s="1"/>
  <c r="E51" i="1" s="1"/>
  <c r="E23" i="1"/>
  <c r="D39" i="1" s="1"/>
  <c r="D23" i="1"/>
  <c r="C39" i="1" s="1"/>
  <c r="C49" i="1" s="1"/>
  <c r="D40" i="1" l="1"/>
  <c r="D50" i="1" s="1"/>
  <c r="D41" i="1"/>
  <c r="D51" i="1" s="1"/>
  <c r="D49" i="1"/>
  <c r="D43" i="1"/>
  <c r="D53" i="1" s="1"/>
  <c r="F40" i="1"/>
  <c r="F50" i="1" s="1"/>
  <c r="F42" i="1"/>
  <c r="F52" i="1" s="1"/>
  <c r="E42" i="1"/>
  <c r="E43" i="1"/>
  <c r="E53" i="1" s="1"/>
  <c r="D42" i="1"/>
  <c r="D52" i="1" s="1"/>
  <c r="F39" i="1"/>
  <c r="F49" i="1" s="1"/>
  <c r="K23" i="1"/>
  <c r="E39" i="1"/>
  <c r="E49" i="1" s="1"/>
  <c r="C42" i="1"/>
  <c r="C52" i="1" s="1"/>
  <c r="C40" i="1"/>
  <c r="C50" i="1" s="1"/>
  <c r="E40" i="1"/>
  <c r="E50" i="1" s="1"/>
  <c r="F43" i="1"/>
  <c r="C41" i="1"/>
  <c r="C51" i="1" s="1"/>
  <c r="C43" i="1"/>
  <c r="C53" i="1" s="1"/>
  <c r="C54" i="1" l="1"/>
  <c r="D54" i="1"/>
  <c r="D44" i="1"/>
  <c r="E44" i="1"/>
  <c r="E52" i="1"/>
  <c r="E54" i="1" s="1"/>
  <c r="F44" i="1"/>
  <c r="F53" i="1"/>
  <c r="F54" i="1" s="1"/>
  <c r="C44" i="1"/>
  <c r="G39" i="1"/>
  <c r="G42" i="1"/>
  <c r="G52" i="1" s="1"/>
  <c r="G41" i="1"/>
  <c r="G51" i="1" s="1"/>
  <c r="G40" i="1"/>
  <c r="G43" i="1"/>
  <c r="G53" i="1" s="1"/>
  <c r="G54" i="1" l="1"/>
  <c r="G44" i="1"/>
</calcChain>
</file>

<file path=xl/sharedStrings.xml><?xml version="1.0" encoding="utf-8"?>
<sst xmlns="http://schemas.openxmlformats.org/spreadsheetml/2006/main" count="189" uniqueCount="75">
  <si>
    <t>Start ngày: 00:00:00 ngày 1/10/2025</t>
  </si>
  <si>
    <t>End ngày: 23:59:59 ngày 30/11/2025</t>
  </si>
  <si>
    <t>Mức</t>
  </si>
  <si>
    <t>Rất thấp</t>
  </si>
  <si>
    <t>Thấp</t>
  </si>
  <si>
    <t>15–40%</t>
  </si>
  <si>
    <t>Trung bình</t>
  </si>
  <si>
    <t>40–70%</t>
  </si>
  <si>
    <t>Cao</t>
  </si>
  <si>
    <t>Rất cao</t>
  </si>
  <si>
    <t>70–95%</t>
  </si>
  <si>
    <t>95% - 110%</t>
  </si>
  <si>
    <t>% capacity cho mỗi lane</t>
  </si>
  <si>
    <t>Tỉ lệ Quy đổi chung về xe máy</t>
  </si>
  <si>
    <t>Xe máy</t>
  </si>
  <si>
    <t>Oto</t>
  </si>
  <si>
    <t>Xe đạp</t>
  </si>
  <si>
    <t>Bus</t>
  </si>
  <si>
    <t>Loại Phương Tiện</t>
  </si>
  <si>
    <t>đường có 2 Lane</t>
  </si>
  <si>
    <t>đường có 3 Lane</t>
  </si>
  <si>
    <t>Minibus</t>
  </si>
  <si>
    <t>Maximum flow</t>
  </si>
  <si>
    <t>Đường có 3 lane</t>
  </si>
  <si>
    <t>q max:  capacity tối đa</t>
  </si>
  <si>
    <t>q_max: Đường có 2 lane</t>
  </si>
  <si>
    <t>Sô phương tiện quy đổi tối đa
q max:  capacity tối đa</t>
  </si>
  <si>
    <t>Đường có 2 lanes: Lane 1 và Lane 2</t>
  </si>
  <si>
    <t>q_max: Đường có 3 lane</t>
  </si>
  <si>
    <t>Lane 1</t>
  </si>
  <si>
    <t>Tỉ lệ phân bổ loại xe trên mỗi làn xe</t>
  </si>
  <si>
    <t>Đường có 2 Lane</t>
  </si>
  <si>
    <t>Đường có 3 Lane</t>
  </si>
  <si>
    <t>Lane 2</t>
  </si>
  <si>
    <t>Lane 3</t>
  </si>
  <si>
    <t>q_max cho lane 2 (số xe máy qui đổi/giờ)</t>
  </si>
  <si>
    <t>q_max cho lane 1 (số xe máy qui đổi/giờ)</t>
  </si>
  <si>
    <t>q_max cho lane 3 (số xe máy qui đổi/giờ)</t>
  </si>
  <si>
    <t>Lane 3 (dành riêng cho oto+bus+minibus)</t>
  </si>
  <si>
    <t>Lane 2 (hỗn hợp)</t>
  </si>
  <si>
    <t>Lane 1 (xe đạp, xe máy)</t>
  </si>
  <si>
    <t>Lane 2 (xe đạp, xe máy, oto, bus, minibus)</t>
  </si>
  <si>
    <t>Lane 1 (xe đạp, xe máy, oto, bus, mini bus)</t>
  </si>
  <si>
    <t>MiniBus</t>
  </si>
  <si>
    <t>q_max</t>
  </si>
  <si>
    <t>Lane 1 (số phương tiện/giờ)</t>
  </si>
  <si>
    <t>Lane 2 (số phương tiện/giờ)</t>
  </si>
  <si>
    <t>số xe tối đa trên mỗi Lane</t>
  </si>
  <si>
    <t xml:space="preserve">Xe máy </t>
  </si>
  <si>
    <t>Xe đạp (đang qui đổi ra xe máy)</t>
  </si>
  <si>
    <t>Oto  (đang qui đổi ra xe máy)</t>
  </si>
  <si>
    <t>Bus  (đang qui đổi ra xe máy)</t>
  </si>
  <si>
    <t>MiniBus  (đang qui đổi ra xe máy)</t>
  </si>
  <si>
    <t>số xe tối đa trên mỗi Lane quy đổi về đúng lại phương tiện</t>
  </si>
  <si>
    <t>Lane 2 (hỗn hợp) (số phương tiện/giờ)</t>
  </si>
  <si>
    <t>Lane 3 (dành riêng cho oto+bus+minibus) (số phương tiện/giờ)</t>
  </si>
  <si>
    <t>Bảng phân bổ các loại xe theo giờ</t>
  </si>
  <si>
    <t>rất thấp</t>
  </si>
  <si>
    <t>Giờ bắt đầu</t>
  </si>
  <si>
    <t>Giờ kết thúc</t>
  </si>
  <si>
    <t>Ngày</t>
  </si>
  <si>
    <t>mật độ</t>
  </si>
  <si>
    <t>thấp</t>
  </si>
  <si>
    <t>cao</t>
  </si>
  <si>
    <t>trung bình</t>
  </si>
  <si>
    <t xml:space="preserve">% q_max cho mỗi lane </t>
  </si>
  <si>
    <t>Đường có 2 Lanes</t>
  </si>
  <si>
    <t>Min</t>
  </si>
  <si>
    <t>Max</t>
  </si>
  <si>
    <t>0-15%</t>
  </si>
  <si>
    <t>0–15%</t>
  </si>
  <si>
    <t>ĐƯỜNG CÓ 3 LANES</t>
  </si>
  <si>
    <t>NGÀY THỨ 7 , CHỦ NHẬT HỆ SỐ 80% CỦA NGÀY TRONG TUẦN</t>
  </si>
  <si>
    <t>NGÀY LỄ 20/11:</t>
  </si>
  <si>
    <t>HỆ SỐ 1,2 LẦN CỦA NGÀY TRONG TUẦN THEO CÙNG KHUNG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</si>
</sst>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3"/>
      <color theme="1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0" xfId="0" applyNumberFormat="1"/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0" borderId="1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3" fillId="0" borderId="0" xfId="0" applyFont="1" applyFill="1" applyBorder="1"/>
    <xf numFmtId="14" fontId="8" fillId="0" borderId="1" xfId="0" applyNumberFormat="1" applyFont="1" applyBorder="1"/>
    <xf numFmtId="21" fontId="0" fillId="0" borderId="1" xfId="0" applyNumberFormat="1" applyBorder="1"/>
    <xf numFmtId="0" fontId="6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0" fillId="0" borderId="0" xfId="0" applyBorder="1"/>
    <xf numFmtId="0" fontId="0" fillId="5" borderId="0" xfId="0" applyFill="1"/>
    <xf numFmtId="0" fontId="0" fillId="8" borderId="1" xfId="0" applyFill="1" applyBorder="1"/>
    <xf numFmtId="0" fontId="2" fillId="8" borderId="4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8" borderId="5" xfId="0" applyFont="1" applyFill="1" applyBorder="1"/>
    <xf numFmtId="0" fontId="2" fillId="0" borderId="5" xfId="0" applyFont="1" applyFill="1" applyBorder="1"/>
    <xf numFmtId="0" fontId="3" fillId="9" borderId="0" xfId="0" applyFont="1" applyFill="1" applyAlignment="1">
      <alignment horizontal="center"/>
    </xf>
    <xf numFmtId="0" fontId="0" fillId="6" borderId="0" xfId="0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99A8-9D97-8B44-AF4A-CBE3553D36B9}">
  <dimension ref="B1:BD76"/>
  <sheetViews>
    <sheetView tabSelected="1" topLeftCell="A64" zoomScale="88" workbookViewId="0">
      <pane xSplit="6" topLeftCell="G1" activePane="topRight" state="frozen"/>
      <selection activeCell="A51" sqref="A51"/>
      <selection pane="topRight" activeCell="B78" sqref="B78:B80"/>
    </sheetView>
  </sheetViews>
  <sheetFormatPr baseColWidth="10" defaultRowHeight="16" x14ac:dyDescent="0.2"/>
  <cols>
    <col min="2" max="2" width="28.6640625" customWidth="1"/>
    <col min="3" max="3" width="24.5" customWidth="1"/>
    <col min="4" max="4" width="28.1640625" customWidth="1"/>
    <col min="5" max="5" width="33.6640625" customWidth="1"/>
    <col min="6" max="6" width="27.83203125" customWidth="1"/>
    <col min="7" max="7" width="12" customWidth="1"/>
    <col min="8" max="16" width="9.5" customWidth="1"/>
  </cols>
  <sheetData>
    <row r="1" spans="2:10" x14ac:dyDescent="0.2">
      <c r="B1" s="1" t="s">
        <v>0</v>
      </c>
    </row>
    <row r="2" spans="2:10" x14ac:dyDescent="0.2">
      <c r="B2" s="1" t="s">
        <v>1</v>
      </c>
    </row>
    <row r="3" spans="2:10" x14ac:dyDescent="0.2">
      <c r="D3" s="26"/>
      <c r="E3" s="26"/>
      <c r="F3" s="26"/>
      <c r="G3" s="26"/>
      <c r="H3" s="26"/>
      <c r="I3" s="26"/>
      <c r="J3" s="26"/>
    </row>
    <row r="4" spans="2:10" x14ac:dyDescent="0.2">
      <c r="B4" s="4" t="s">
        <v>2</v>
      </c>
      <c r="C4" s="4" t="s">
        <v>12</v>
      </c>
      <c r="D4" s="27"/>
      <c r="E4" s="27"/>
      <c r="F4" s="27"/>
      <c r="G4" s="27"/>
      <c r="H4" s="27"/>
      <c r="I4" s="28"/>
      <c r="J4" s="28"/>
    </row>
    <row r="5" spans="2:10" x14ac:dyDescent="0.2">
      <c r="B5" s="2" t="s">
        <v>3</v>
      </c>
      <c r="C5" s="2" t="s">
        <v>70</v>
      </c>
      <c r="D5" s="26"/>
      <c r="E5" s="26"/>
      <c r="F5" s="26"/>
      <c r="G5" s="26"/>
      <c r="H5" s="26"/>
      <c r="I5" s="26"/>
      <c r="J5" s="26"/>
    </row>
    <row r="6" spans="2:10" x14ac:dyDescent="0.2">
      <c r="B6" s="2" t="s">
        <v>4</v>
      </c>
      <c r="C6" s="2" t="s">
        <v>5</v>
      </c>
      <c r="D6" s="26"/>
      <c r="E6" s="26"/>
      <c r="F6" s="26"/>
      <c r="G6" s="26"/>
      <c r="H6" s="26"/>
      <c r="I6" s="26"/>
      <c r="J6" s="26"/>
    </row>
    <row r="7" spans="2:10" x14ac:dyDescent="0.2">
      <c r="B7" s="2" t="s">
        <v>6</v>
      </c>
      <c r="C7" s="2" t="s">
        <v>7</v>
      </c>
      <c r="D7" s="26"/>
      <c r="E7" s="26"/>
      <c r="F7" s="26"/>
      <c r="G7" s="26"/>
      <c r="H7" s="26"/>
      <c r="I7" s="26"/>
      <c r="J7" s="26"/>
    </row>
    <row r="8" spans="2:10" x14ac:dyDescent="0.2">
      <c r="B8" s="2" t="s">
        <v>8</v>
      </c>
      <c r="C8" s="2" t="s">
        <v>10</v>
      </c>
      <c r="D8" s="26"/>
      <c r="E8" s="26"/>
      <c r="F8" s="26"/>
      <c r="G8" s="26"/>
      <c r="H8" s="26"/>
      <c r="I8" s="26"/>
      <c r="J8" s="26"/>
    </row>
    <row r="9" spans="2:10" x14ac:dyDescent="0.2">
      <c r="B9" s="2" t="s">
        <v>9</v>
      </c>
      <c r="C9" s="2" t="s">
        <v>11</v>
      </c>
      <c r="D9" s="26"/>
      <c r="E9" s="26"/>
      <c r="F9" s="26"/>
      <c r="G9" s="26"/>
      <c r="H9" s="26"/>
      <c r="I9" s="26"/>
      <c r="J9" s="26"/>
    </row>
    <row r="12" spans="2:10" x14ac:dyDescent="0.2">
      <c r="B12" s="5" t="s">
        <v>13</v>
      </c>
    </row>
    <row r="13" spans="2:10" x14ac:dyDescent="0.2">
      <c r="B13" s="4" t="s">
        <v>18</v>
      </c>
      <c r="C13" s="4" t="s">
        <v>19</v>
      </c>
      <c r="D13" s="21" t="s">
        <v>20</v>
      </c>
    </row>
    <row r="14" spans="2:10" x14ac:dyDescent="0.2">
      <c r="B14" s="6" t="s">
        <v>14</v>
      </c>
      <c r="C14" s="3">
        <v>1</v>
      </c>
      <c r="D14" s="3">
        <v>1</v>
      </c>
    </row>
    <row r="15" spans="2:10" x14ac:dyDescent="0.2">
      <c r="B15" s="6" t="s">
        <v>16</v>
      </c>
      <c r="C15" s="3">
        <v>1.4</v>
      </c>
      <c r="D15" s="3">
        <v>1.37</v>
      </c>
    </row>
    <row r="16" spans="2:10" x14ac:dyDescent="0.2">
      <c r="B16" s="6" t="s">
        <v>15</v>
      </c>
      <c r="C16" s="3">
        <v>3.59</v>
      </c>
      <c r="D16" s="3">
        <v>3.42</v>
      </c>
    </row>
    <row r="17" spans="2:12" x14ac:dyDescent="0.2">
      <c r="B17" s="6" t="s">
        <v>17</v>
      </c>
      <c r="C17" s="3">
        <v>11.8</v>
      </c>
      <c r="D17" s="3">
        <v>11.07</v>
      </c>
    </row>
    <row r="18" spans="2:12" x14ac:dyDescent="0.2">
      <c r="B18" s="6" t="s">
        <v>21</v>
      </c>
      <c r="C18" s="3">
        <v>8.4</v>
      </c>
      <c r="D18" s="3">
        <v>8.2200000000000006</v>
      </c>
    </row>
    <row r="20" spans="2:12" ht="34" x14ac:dyDescent="0.2">
      <c r="B20" s="7" t="s">
        <v>26</v>
      </c>
      <c r="C20" t="s">
        <v>24</v>
      </c>
    </row>
    <row r="21" spans="2:12" s="8" customFormat="1" x14ac:dyDescent="0.2">
      <c r="B21" s="9"/>
      <c r="C21" s="10" t="s">
        <v>27</v>
      </c>
      <c r="D21" s="10"/>
      <c r="E21" s="10"/>
      <c r="F21" s="18" t="s">
        <v>23</v>
      </c>
      <c r="G21" s="18"/>
      <c r="H21" s="18"/>
      <c r="I21" s="18"/>
      <c r="J21" s="18"/>
      <c r="K21" s="18"/>
      <c r="L21" s="37"/>
    </row>
    <row r="22" spans="2:12" s="8" customFormat="1" ht="85" x14ac:dyDescent="0.2">
      <c r="B22" s="9"/>
      <c r="C22" s="11" t="s">
        <v>25</v>
      </c>
      <c r="D22" s="12" t="s">
        <v>36</v>
      </c>
      <c r="E22" s="12" t="s">
        <v>35</v>
      </c>
      <c r="F22" s="19" t="s">
        <v>28</v>
      </c>
      <c r="G22" s="20" t="s">
        <v>36</v>
      </c>
      <c r="H22" s="20"/>
      <c r="I22" s="20" t="s">
        <v>35</v>
      </c>
      <c r="J22" s="20"/>
      <c r="K22" s="20" t="s">
        <v>37</v>
      </c>
      <c r="L22" s="36"/>
    </row>
    <row r="23" spans="2:12" x14ac:dyDescent="0.2">
      <c r="B23" s="6" t="s">
        <v>22</v>
      </c>
      <c r="C23" s="3">
        <v>13358</v>
      </c>
      <c r="D23" s="13">
        <f>C23/2</f>
        <v>6679</v>
      </c>
      <c r="E23" s="13">
        <f>C23/2</f>
        <v>6679</v>
      </c>
      <c r="F23" s="3">
        <v>21725</v>
      </c>
      <c r="G23" s="3">
        <f>ROUND(F23/3,0)</f>
        <v>7242</v>
      </c>
      <c r="H23" s="3"/>
      <c r="I23" s="3">
        <f>ROUND(F23/3,0)</f>
        <v>7242</v>
      </c>
      <c r="J23" s="3"/>
      <c r="K23" s="3">
        <f>F23-(G23+I23)</f>
        <v>7241</v>
      </c>
      <c r="L23" s="38"/>
    </row>
    <row r="24" spans="2:1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8"/>
    </row>
    <row r="25" spans="2:1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8"/>
    </row>
    <row r="27" spans="2:12" x14ac:dyDescent="0.2">
      <c r="B27" s="1" t="s">
        <v>30</v>
      </c>
    </row>
    <row r="28" spans="2:12" x14ac:dyDescent="0.2">
      <c r="B28" s="14"/>
      <c r="C28" s="14" t="s">
        <v>31</v>
      </c>
      <c r="D28" s="14"/>
      <c r="E28" s="17" t="s">
        <v>32</v>
      </c>
      <c r="F28" s="17"/>
      <c r="G28" s="17"/>
      <c r="H28" s="34"/>
    </row>
    <row r="29" spans="2:12" x14ac:dyDescent="0.2">
      <c r="B29" s="14"/>
      <c r="C29" s="14" t="s">
        <v>42</v>
      </c>
      <c r="D29" s="14" t="s">
        <v>41</v>
      </c>
      <c r="E29" s="17" t="s">
        <v>40</v>
      </c>
      <c r="F29" s="17" t="s">
        <v>39</v>
      </c>
      <c r="G29" s="17" t="s">
        <v>38</v>
      </c>
      <c r="H29" s="34"/>
    </row>
    <row r="30" spans="2:12" x14ac:dyDescent="0.2">
      <c r="B30" t="s">
        <v>16</v>
      </c>
      <c r="C30" s="15">
        <v>0.1</v>
      </c>
      <c r="D30" s="15">
        <v>0</v>
      </c>
      <c r="E30" s="15">
        <v>0.1</v>
      </c>
      <c r="F30">
        <v>0</v>
      </c>
      <c r="G30">
        <v>0</v>
      </c>
    </row>
    <row r="31" spans="2:12" x14ac:dyDescent="0.2">
      <c r="B31" t="s">
        <v>14</v>
      </c>
      <c r="C31" s="15">
        <v>0.65</v>
      </c>
      <c r="D31" s="15">
        <v>0.3</v>
      </c>
      <c r="E31" s="15">
        <v>0.9</v>
      </c>
      <c r="F31" s="15">
        <v>0.4</v>
      </c>
      <c r="G31">
        <v>0</v>
      </c>
    </row>
    <row r="32" spans="2:12" x14ac:dyDescent="0.2">
      <c r="B32" t="s">
        <v>15</v>
      </c>
      <c r="C32" s="15">
        <v>0.15</v>
      </c>
      <c r="D32" s="15">
        <v>0.5</v>
      </c>
      <c r="E32">
        <v>0</v>
      </c>
      <c r="F32" s="15">
        <v>0.5</v>
      </c>
      <c r="G32" s="15">
        <v>0.8</v>
      </c>
      <c r="H32" s="15"/>
    </row>
    <row r="33" spans="2:8" x14ac:dyDescent="0.2">
      <c r="B33" t="s">
        <v>17</v>
      </c>
      <c r="C33" s="15">
        <v>0.05</v>
      </c>
      <c r="D33" s="15">
        <v>0.1</v>
      </c>
      <c r="E33">
        <v>0</v>
      </c>
      <c r="F33" s="15">
        <v>0.05</v>
      </c>
      <c r="G33" s="15">
        <v>0.1</v>
      </c>
      <c r="H33" s="15"/>
    </row>
    <row r="34" spans="2:8" x14ac:dyDescent="0.2">
      <c r="B34" t="s">
        <v>43</v>
      </c>
      <c r="C34" s="15">
        <v>0.05</v>
      </c>
      <c r="D34" s="15">
        <v>0.1</v>
      </c>
      <c r="E34">
        <v>0</v>
      </c>
      <c r="F34" s="15">
        <v>0.05</v>
      </c>
      <c r="G34" s="15">
        <v>0.1</v>
      </c>
      <c r="H34" s="15"/>
    </row>
    <row r="36" spans="2:8" x14ac:dyDescent="0.2">
      <c r="B36" t="s">
        <v>44</v>
      </c>
    </row>
    <row r="37" spans="2:8" x14ac:dyDescent="0.2">
      <c r="B37" s="14"/>
      <c r="C37" s="14" t="s">
        <v>31</v>
      </c>
      <c r="D37" s="14"/>
      <c r="E37" s="17" t="s">
        <v>32</v>
      </c>
      <c r="F37" s="17"/>
      <c r="G37" s="17"/>
      <c r="H37" s="34"/>
    </row>
    <row r="38" spans="2:8" x14ac:dyDescent="0.2">
      <c r="B38" s="14" t="s">
        <v>47</v>
      </c>
      <c r="C38" s="14" t="s">
        <v>45</v>
      </c>
      <c r="D38" s="14" t="s">
        <v>46</v>
      </c>
      <c r="E38" s="17" t="s">
        <v>40</v>
      </c>
      <c r="F38" s="17" t="s">
        <v>39</v>
      </c>
      <c r="G38" s="17" t="s">
        <v>38</v>
      </c>
      <c r="H38" s="34"/>
    </row>
    <row r="39" spans="2:8" x14ac:dyDescent="0.2">
      <c r="B39" s="2" t="s">
        <v>49</v>
      </c>
      <c r="C39" s="16">
        <f>D23*C30</f>
        <v>667.90000000000009</v>
      </c>
      <c r="D39" s="16">
        <f>E23*D30</f>
        <v>0</v>
      </c>
      <c r="E39" s="16">
        <f>G23*E30</f>
        <v>724.2</v>
      </c>
      <c r="F39" s="16">
        <f>I23*F30</f>
        <v>0</v>
      </c>
      <c r="G39" s="16">
        <f>K23*G30</f>
        <v>0</v>
      </c>
      <c r="H39" s="35"/>
    </row>
    <row r="40" spans="2:8" x14ac:dyDescent="0.2">
      <c r="B40" s="2" t="s">
        <v>48</v>
      </c>
      <c r="C40" s="16">
        <f>D23*C31</f>
        <v>4341.3500000000004</v>
      </c>
      <c r="D40" s="16">
        <f>E23*D31</f>
        <v>2003.6999999999998</v>
      </c>
      <c r="E40" s="16">
        <f>G23*E31</f>
        <v>6517.8</v>
      </c>
      <c r="F40" s="16">
        <f>I23*F31</f>
        <v>2896.8</v>
      </c>
      <c r="G40" s="16">
        <f>K23*G31</f>
        <v>0</v>
      </c>
      <c r="H40" s="35"/>
    </row>
    <row r="41" spans="2:8" x14ac:dyDescent="0.2">
      <c r="B41" s="2" t="s">
        <v>50</v>
      </c>
      <c r="C41" s="16">
        <f>D23*C32</f>
        <v>1001.8499999999999</v>
      </c>
      <c r="D41" s="16">
        <f>E23*D32</f>
        <v>3339.5</v>
      </c>
      <c r="E41" s="16">
        <f>G23*E32</f>
        <v>0</v>
      </c>
      <c r="F41" s="16">
        <f>I23*F32</f>
        <v>3621</v>
      </c>
      <c r="G41" s="16">
        <f>K23*G32</f>
        <v>5792.8</v>
      </c>
      <c r="H41" s="35"/>
    </row>
    <row r="42" spans="2:8" x14ac:dyDescent="0.2">
      <c r="B42" s="2" t="s">
        <v>51</v>
      </c>
      <c r="C42" s="16">
        <f>D23*C33</f>
        <v>333.95000000000005</v>
      </c>
      <c r="D42" s="16">
        <f>E23*D33</f>
        <v>667.90000000000009</v>
      </c>
      <c r="E42" s="16">
        <f>G23*E33</f>
        <v>0</v>
      </c>
      <c r="F42" s="16">
        <f>I23*F33</f>
        <v>362.1</v>
      </c>
      <c r="G42" s="16">
        <f>K23*G33</f>
        <v>724.1</v>
      </c>
      <c r="H42" s="35"/>
    </row>
    <row r="43" spans="2:8" x14ac:dyDescent="0.2">
      <c r="B43" s="2" t="s">
        <v>52</v>
      </c>
      <c r="C43" s="16">
        <f>D23*C34</f>
        <v>333.95000000000005</v>
      </c>
      <c r="D43" s="16">
        <f>E23*D34</f>
        <v>667.90000000000009</v>
      </c>
      <c r="E43" s="16">
        <f>G23*E34</f>
        <v>0</v>
      </c>
      <c r="F43" s="16">
        <f>I23*F34</f>
        <v>362.1</v>
      </c>
      <c r="G43" s="16">
        <f>K23*G34</f>
        <v>724.1</v>
      </c>
      <c r="H43" s="35"/>
    </row>
    <row r="44" spans="2:8" x14ac:dyDescent="0.2">
      <c r="C44" s="1">
        <f>SUM(C39:C43)</f>
        <v>6679</v>
      </c>
      <c r="D44" s="1">
        <f>SUM(D39:D43)</f>
        <v>6679</v>
      </c>
      <c r="E44" s="1">
        <f t="shared" ref="E44:G44" si="0">SUM(E39:E43)</f>
        <v>7242</v>
      </c>
      <c r="F44" s="1">
        <f t="shared" si="0"/>
        <v>7242.0000000000009</v>
      </c>
      <c r="G44" s="1">
        <f t="shared" si="0"/>
        <v>7241.0000000000009</v>
      </c>
      <c r="H44" s="1"/>
    </row>
    <row r="46" spans="2:8" x14ac:dyDescent="0.2">
      <c r="B46" s="24" t="s">
        <v>44</v>
      </c>
      <c r="C46" s="24"/>
      <c r="D46" s="24"/>
      <c r="E46" s="24"/>
      <c r="F46" s="24"/>
      <c r="G46" s="24"/>
      <c r="H46" s="24"/>
    </row>
    <row r="47" spans="2:8" x14ac:dyDescent="0.2">
      <c r="B47" s="22" t="s">
        <v>53</v>
      </c>
      <c r="C47" s="14" t="s">
        <v>31</v>
      </c>
      <c r="D47" s="14"/>
      <c r="E47" s="17" t="s">
        <v>32</v>
      </c>
      <c r="F47" s="17"/>
      <c r="G47" s="17"/>
      <c r="H47" s="34"/>
    </row>
    <row r="48" spans="2:8" ht="136" x14ac:dyDescent="0.2">
      <c r="B48" s="23"/>
      <c r="C48" s="14" t="s">
        <v>45</v>
      </c>
      <c r="D48" s="14" t="s">
        <v>46</v>
      </c>
      <c r="E48" s="17" t="s">
        <v>45</v>
      </c>
      <c r="F48" s="20" t="s">
        <v>54</v>
      </c>
      <c r="G48" s="20" t="s">
        <v>55</v>
      </c>
      <c r="H48" s="36"/>
    </row>
    <row r="49" spans="2:56" x14ac:dyDescent="0.2">
      <c r="B49" s="2" t="s">
        <v>16</v>
      </c>
      <c r="C49" s="16">
        <f>C39/1.4</f>
        <v>477.07142857142867</v>
      </c>
      <c r="D49" s="16">
        <f>D39/1.4</f>
        <v>0</v>
      </c>
      <c r="E49" s="16">
        <f>E39/1.37</f>
        <v>528.61313868613138</v>
      </c>
      <c r="F49" s="16">
        <f>F39</f>
        <v>0</v>
      </c>
      <c r="G49" s="16">
        <v>0</v>
      </c>
      <c r="H49" s="35"/>
    </row>
    <row r="50" spans="2:56" x14ac:dyDescent="0.2">
      <c r="B50" s="2" t="s">
        <v>14</v>
      </c>
      <c r="C50" s="16">
        <f>C40/1</f>
        <v>4341.3500000000004</v>
      </c>
      <c r="D50" s="16">
        <f>D40/1</f>
        <v>2003.6999999999998</v>
      </c>
      <c r="E50" s="16">
        <f>E40</f>
        <v>6517.8</v>
      </c>
      <c r="F50" s="16">
        <f>F40</f>
        <v>2896.8</v>
      </c>
      <c r="G50" s="16">
        <v>0</v>
      </c>
      <c r="H50" s="35"/>
    </row>
    <row r="51" spans="2:56" x14ac:dyDescent="0.2">
      <c r="B51" s="2" t="s">
        <v>15</v>
      </c>
      <c r="C51" s="16">
        <f>C41/3.59</f>
        <v>279.066852367688</v>
      </c>
      <c r="D51" s="16">
        <f>D41/3.59</f>
        <v>930.22284122562678</v>
      </c>
      <c r="E51" s="16">
        <f>E41</f>
        <v>0</v>
      </c>
      <c r="F51" s="16">
        <f>F41/3.42</f>
        <v>1058.7719298245615</v>
      </c>
      <c r="G51" s="16">
        <f>G41/3.42</f>
        <v>1693.8011695906434</v>
      </c>
      <c r="H51" s="35"/>
    </row>
    <row r="52" spans="2:56" x14ac:dyDescent="0.2">
      <c r="B52" s="2" t="s">
        <v>17</v>
      </c>
      <c r="C52" s="16">
        <f>C42/11.8</f>
        <v>28.300847457627121</v>
      </c>
      <c r="D52" s="16">
        <f>D42/11.8</f>
        <v>56.601694915254242</v>
      </c>
      <c r="E52" s="16">
        <f>E42</f>
        <v>0</v>
      </c>
      <c r="F52" s="16">
        <f>F42/11.07</f>
        <v>32.710027100271006</v>
      </c>
      <c r="G52" s="16">
        <f>G42/11.07</f>
        <v>65.411020776874437</v>
      </c>
      <c r="H52" s="35"/>
    </row>
    <row r="53" spans="2:56" x14ac:dyDescent="0.2">
      <c r="B53" s="2" t="s">
        <v>43</v>
      </c>
      <c r="C53" s="16">
        <f>C43/8.4</f>
        <v>39.755952380952387</v>
      </c>
      <c r="D53" s="16">
        <f>D43/8.4</f>
        <v>79.511904761904773</v>
      </c>
      <c r="E53" s="16">
        <f>E43</f>
        <v>0</v>
      </c>
      <c r="F53" s="16">
        <f>F43/8.22</f>
        <v>44.051094890510946</v>
      </c>
      <c r="G53" s="16">
        <f>G43/8.22</f>
        <v>88.090024330900235</v>
      </c>
      <c r="H53" s="35"/>
    </row>
    <row r="54" spans="2:56" x14ac:dyDescent="0.2">
      <c r="C54" s="1">
        <f>SUM(C49:C53)</f>
        <v>5165.5450807776961</v>
      </c>
      <c r="D54" s="1">
        <f>SUM(D49:D53)</f>
        <v>3070.0364409027852</v>
      </c>
      <c r="E54" s="1">
        <f t="shared" ref="E54" si="1">SUM(E49:E53)</f>
        <v>7046.4131386861318</v>
      </c>
      <c r="F54" s="1">
        <f t="shared" ref="F54" si="2">SUM(F49:F53)</f>
        <v>4032.3330518153434</v>
      </c>
      <c r="G54" s="1">
        <f t="shared" ref="G54" si="3">SUM(G49:G53)</f>
        <v>1847.3022146984181</v>
      </c>
      <c r="H54" s="1"/>
    </row>
    <row r="56" spans="2:56" x14ac:dyDescent="0.2">
      <c r="G56" s="31" t="s">
        <v>66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9"/>
      <c r="W56" s="39"/>
      <c r="X56" s="39"/>
      <c r="Y56" s="39"/>
      <c r="Z56" s="39"/>
      <c r="AA56" s="49" t="s">
        <v>71</v>
      </c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</row>
    <row r="57" spans="2:56" x14ac:dyDescent="0.2">
      <c r="G57" s="32" t="s">
        <v>29</v>
      </c>
      <c r="H57" s="32"/>
      <c r="I57" s="32"/>
      <c r="J57" s="32"/>
      <c r="K57" s="32"/>
      <c r="L57" s="32"/>
      <c r="M57" s="32"/>
      <c r="N57" s="32"/>
      <c r="O57" s="32"/>
      <c r="P57" s="32"/>
      <c r="Q57" s="33" t="s">
        <v>33</v>
      </c>
      <c r="R57" s="33"/>
      <c r="S57" s="33"/>
      <c r="T57" s="33"/>
      <c r="U57" s="33"/>
      <c r="V57" s="33"/>
      <c r="W57" s="33"/>
      <c r="X57" s="33"/>
      <c r="Y57" s="33"/>
      <c r="Z57" s="33"/>
      <c r="AA57" s="32" t="s">
        <v>29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3" t="s">
        <v>33</v>
      </c>
      <c r="AL57" s="33"/>
      <c r="AM57" s="33"/>
      <c r="AN57" s="33"/>
      <c r="AO57" s="33"/>
      <c r="AP57" s="33"/>
      <c r="AQ57" s="33"/>
      <c r="AR57" s="33"/>
      <c r="AS57" s="33"/>
      <c r="AT57" s="33"/>
      <c r="AU57" s="47" t="s">
        <v>34</v>
      </c>
      <c r="AV57" s="47"/>
      <c r="AW57" s="47"/>
      <c r="AX57" s="47"/>
      <c r="AY57" s="47"/>
      <c r="AZ57" s="47"/>
      <c r="BA57" s="47"/>
      <c r="BB57" s="47"/>
      <c r="BC57" s="47"/>
      <c r="BD57" s="47"/>
    </row>
    <row r="58" spans="2:56" x14ac:dyDescent="0.2">
      <c r="B58" s="5" t="s">
        <v>56</v>
      </c>
      <c r="G58" s="41" t="s">
        <v>16</v>
      </c>
      <c r="H58" s="42"/>
      <c r="I58" s="43" t="s">
        <v>14</v>
      </c>
      <c r="J58" s="44"/>
      <c r="K58" s="41" t="s">
        <v>15</v>
      </c>
      <c r="L58" s="42"/>
      <c r="M58" s="43" t="s">
        <v>17</v>
      </c>
      <c r="N58" s="44"/>
      <c r="O58" s="41" t="s">
        <v>21</v>
      </c>
      <c r="P58" s="42"/>
      <c r="Q58" s="43" t="s">
        <v>16</v>
      </c>
      <c r="R58" s="44"/>
      <c r="S58" s="41" t="s">
        <v>14</v>
      </c>
      <c r="T58" s="42"/>
      <c r="U58" s="43" t="s">
        <v>15</v>
      </c>
      <c r="V58" s="44"/>
      <c r="W58" s="41" t="s">
        <v>17</v>
      </c>
      <c r="X58" s="42"/>
      <c r="Y58" s="43" t="s">
        <v>21</v>
      </c>
      <c r="Z58" s="44"/>
      <c r="AA58" s="41" t="s">
        <v>16</v>
      </c>
      <c r="AB58" s="42"/>
      <c r="AC58" s="43" t="s">
        <v>14</v>
      </c>
      <c r="AD58" s="44"/>
      <c r="AE58" s="41" t="s">
        <v>15</v>
      </c>
      <c r="AF58" s="42"/>
      <c r="AG58" s="43" t="s">
        <v>17</v>
      </c>
      <c r="AH58" s="44"/>
      <c r="AI58" s="41" t="s">
        <v>21</v>
      </c>
      <c r="AJ58" s="42"/>
      <c r="AK58" s="43" t="s">
        <v>16</v>
      </c>
      <c r="AL58" s="44"/>
      <c r="AM58" s="41" t="s">
        <v>14</v>
      </c>
      <c r="AN58" s="42"/>
      <c r="AO58" s="43" t="s">
        <v>15</v>
      </c>
      <c r="AP58" s="44"/>
      <c r="AQ58" s="41" t="s">
        <v>17</v>
      </c>
      <c r="AR58" s="42"/>
      <c r="AS58" s="43" t="s">
        <v>21</v>
      </c>
      <c r="AT58" s="44"/>
      <c r="AU58" s="43" t="s">
        <v>16</v>
      </c>
      <c r="AV58" s="44"/>
      <c r="AW58" s="41" t="s">
        <v>14</v>
      </c>
      <c r="AX58" s="42"/>
      <c r="AY58" s="43" t="s">
        <v>15</v>
      </c>
      <c r="AZ58" s="44"/>
      <c r="BA58" s="41" t="s">
        <v>17</v>
      </c>
      <c r="BB58" s="42"/>
      <c r="BC58" s="43" t="s">
        <v>21</v>
      </c>
      <c r="BD58" s="44"/>
    </row>
    <row r="59" spans="2:56" x14ac:dyDescent="0.2">
      <c r="B59" s="3" t="s">
        <v>60</v>
      </c>
      <c r="C59" s="6" t="s">
        <v>58</v>
      </c>
      <c r="D59" s="3" t="s">
        <v>59</v>
      </c>
      <c r="E59" s="3" t="s">
        <v>61</v>
      </c>
      <c r="F59" s="6" t="s">
        <v>65</v>
      </c>
      <c r="G59" s="45" t="s">
        <v>67</v>
      </c>
      <c r="H59" s="45" t="s">
        <v>68</v>
      </c>
      <c r="I59" s="46" t="s">
        <v>67</v>
      </c>
      <c r="J59" s="46" t="s">
        <v>68</v>
      </c>
      <c r="K59" s="45" t="s">
        <v>67</v>
      </c>
      <c r="L59" s="45" t="s">
        <v>68</v>
      </c>
      <c r="M59" s="46" t="s">
        <v>67</v>
      </c>
      <c r="N59" s="46" t="s">
        <v>68</v>
      </c>
      <c r="O59" s="45" t="s">
        <v>67</v>
      </c>
      <c r="P59" s="45" t="s">
        <v>68</v>
      </c>
      <c r="Q59" s="46" t="s">
        <v>67</v>
      </c>
      <c r="R59" s="46" t="s">
        <v>68</v>
      </c>
      <c r="S59" s="45" t="s">
        <v>67</v>
      </c>
      <c r="T59" s="45" t="s">
        <v>68</v>
      </c>
      <c r="U59" s="46" t="s">
        <v>67</v>
      </c>
      <c r="V59" s="46" t="s">
        <v>68</v>
      </c>
      <c r="W59" s="45" t="s">
        <v>67</v>
      </c>
      <c r="X59" s="45" t="s">
        <v>68</v>
      </c>
      <c r="Y59" s="46" t="s">
        <v>67</v>
      </c>
      <c r="Z59" s="46" t="s">
        <v>68</v>
      </c>
      <c r="AA59" s="45" t="s">
        <v>67</v>
      </c>
      <c r="AB59" s="45" t="s">
        <v>68</v>
      </c>
      <c r="AC59" s="46" t="s">
        <v>67</v>
      </c>
      <c r="AD59" s="46" t="s">
        <v>68</v>
      </c>
      <c r="AE59" s="45" t="s">
        <v>67</v>
      </c>
      <c r="AF59" s="45" t="s">
        <v>68</v>
      </c>
      <c r="AG59" s="46" t="s">
        <v>67</v>
      </c>
      <c r="AH59" s="46" t="s">
        <v>68</v>
      </c>
      <c r="AI59" s="45" t="s">
        <v>67</v>
      </c>
      <c r="AJ59" s="45" t="s">
        <v>68</v>
      </c>
      <c r="AK59" s="46" t="s">
        <v>67</v>
      </c>
      <c r="AL59" s="46" t="s">
        <v>68</v>
      </c>
      <c r="AM59" s="45" t="s">
        <v>67</v>
      </c>
      <c r="AN59" s="45" t="s">
        <v>68</v>
      </c>
      <c r="AO59" s="46" t="s">
        <v>67</v>
      </c>
      <c r="AP59" s="46" t="s">
        <v>68</v>
      </c>
      <c r="AQ59" s="45" t="s">
        <v>67</v>
      </c>
      <c r="AR59" s="45" t="s">
        <v>68</v>
      </c>
      <c r="AS59" s="46" t="s">
        <v>67</v>
      </c>
      <c r="AT59" s="46" t="s">
        <v>68</v>
      </c>
      <c r="AU59" s="46" t="s">
        <v>67</v>
      </c>
      <c r="AV59" s="46" t="s">
        <v>68</v>
      </c>
      <c r="AW59" s="45" t="s">
        <v>67</v>
      </c>
      <c r="AX59" s="45" t="s">
        <v>68</v>
      </c>
      <c r="AY59" s="46" t="s">
        <v>67</v>
      </c>
      <c r="AZ59" s="46" t="s">
        <v>68</v>
      </c>
      <c r="BA59" s="45" t="s">
        <v>67</v>
      </c>
      <c r="BB59" s="45" t="s">
        <v>68</v>
      </c>
      <c r="BC59" s="46" t="s">
        <v>67</v>
      </c>
      <c r="BD59" s="46" t="s">
        <v>68</v>
      </c>
    </row>
    <row r="60" spans="2:56" ht="17" x14ac:dyDescent="0.2">
      <c r="B60" s="29">
        <v>45931</v>
      </c>
      <c r="C60" s="30">
        <v>0</v>
      </c>
      <c r="D60" s="30">
        <v>0.20833333333333334</v>
      </c>
      <c r="E60" s="3" t="s">
        <v>57</v>
      </c>
      <c r="F60" s="2" t="s">
        <v>69</v>
      </c>
      <c r="G60" s="40">
        <v>0</v>
      </c>
      <c r="H60" s="40">
        <f>$C$49*15%</f>
        <v>71.560714285714297</v>
      </c>
      <c r="I60" s="3">
        <v>0</v>
      </c>
      <c r="J60" s="3">
        <f>C50*15%</f>
        <v>651.20249999999999</v>
      </c>
      <c r="K60" s="40">
        <v>0</v>
      </c>
      <c r="L60" s="40">
        <f>$C$51*15%</f>
        <v>41.860027855153199</v>
      </c>
      <c r="M60" s="3">
        <v>0</v>
      </c>
      <c r="N60" s="3">
        <f>$C$52*15%</f>
        <v>4.245127118644068</v>
      </c>
      <c r="O60" s="40">
        <v>0</v>
      </c>
      <c r="P60" s="40">
        <f>$C$53*15%</f>
        <v>5.9633928571428578</v>
      </c>
      <c r="Q60" s="25">
        <v>0</v>
      </c>
      <c r="R60" s="25">
        <f>$D$49*15%</f>
        <v>0</v>
      </c>
      <c r="S60" s="40">
        <v>0</v>
      </c>
      <c r="T60" s="40">
        <f>D50*15%</f>
        <v>300.55499999999995</v>
      </c>
      <c r="U60" s="3">
        <v>0</v>
      </c>
      <c r="V60" s="3">
        <f>$D$51*15%</f>
        <v>139.533426183844</v>
      </c>
      <c r="W60" s="40">
        <v>0</v>
      </c>
      <c r="X60" s="40">
        <f>$D$52*15%</f>
        <v>8.490254237288136</v>
      </c>
      <c r="Y60" s="3">
        <v>0</v>
      </c>
      <c r="Z60" s="3">
        <f>$D$53*15%</f>
        <v>11.926785714285716</v>
      </c>
      <c r="AA60" s="40">
        <v>0</v>
      </c>
      <c r="AB60" s="40">
        <f>$E$49*15%</f>
        <v>79.291970802919707</v>
      </c>
      <c r="AC60" s="3">
        <v>0</v>
      </c>
      <c r="AD60" s="3">
        <f>E50*15%</f>
        <v>977.67</v>
      </c>
      <c r="AE60" s="40">
        <v>0</v>
      </c>
      <c r="AF60" s="40">
        <f>$E$51*15%</f>
        <v>0</v>
      </c>
      <c r="AG60" s="3">
        <v>0</v>
      </c>
      <c r="AH60" s="3">
        <v>0</v>
      </c>
      <c r="AI60" s="40">
        <v>0</v>
      </c>
      <c r="AJ60" s="40">
        <v>0</v>
      </c>
      <c r="AK60" s="25">
        <v>0</v>
      </c>
      <c r="AL60" s="25">
        <v>0</v>
      </c>
      <c r="AM60" s="40">
        <v>0</v>
      </c>
      <c r="AN60" s="40">
        <f>F50*15%</f>
        <v>434.52000000000004</v>
      </c>
      <c r="AO60" s="3">
        <v>0</v>
      </c>
      <c r="AP60" s="3">
        <f>$F$51*15%</f>
        <v>158.81578947368422</v>
      </c>
      <c r="AQ60" s="40">
        <v>0</v>
      </c>
      <c r="AR60" s="40">
        <f>$F$52*15%</f>
        <v>4.9065040650406511</v>
      </c>
      <c r="AS60" s="3">
        <v>0</v>
      </c>
      <c r="AT60" s="3">
        <f>$F$53*15%</f>
        <v>6.6076642335766413</v>
      </c>
      <c r="AU60" s="25">
        <v>0</v>
      </c>
      <c r="AV60" s="25">
        <v>0</v>
      </c>
      <c r="AW60" s="40">
        <v>0</v>
      </c>
      <c r="AX60" s="40">
        <f>P50*15%</f>
        <v>0</v>
      </c>
      <c r="AY60" s="3">
        <v>0</v>
      </c>
      <c r="AZ60" s="3">
        <f>$G$51*15%</f>
        <v>254.07017543859649</v>
      </c>
      <c r="BA60" s="40">
        <v>0</v>
      </c>
      <c r="BB60" s="40">
        <f>$G$52*15%</f>
        <v>9.8116531165311649</v>
      </c>
      <c r="BC60" s="3">
        <v>0</v>
      </c>
      <c r="BD60" s="3">
        <f>$G$53*15%</f>
        <v>13.213503649635035</v>
      </c>
    </row>
    <row r="61" spans="2:56" ht="17" x14ac:dyDescent="0.2">
      <c r="B61" s="29">
        <v>45931</v>
      </c>
      <c r="C61" s="30">
        <v>0.20834490740740741</v>
      </c>
      <c r="D61" s="30">
        <v>0.27083333333333331</v>
      </c>
      <c r="E61" s="3" t="s">
        <v>62</v>
      </c>
      <c r="F61" s="2" t="s">
        <v>5</v>
      </c>
      <c r="G61" s="40">
        <f>$C$49*15%</f>
        <v>71.560714285714297</v>
      </c>
      <c r="H61" s="40">
        <f>$C$49*40%</f>
        <v>190.82857142857148</v>
      </c>
      <c r="I61" s="3">
        <f>C50*15%</f>
        <v>651.20249999999999</v>
      </c>
      <c r="J61" s="3">
        <f>C50*40%</f>
        <v>1736.5400000000002</v>
      </c>
      <c r="K61" s="40">
        <f>$C$51*15%</f>
        <v>41.860027855153199</v>
      </c>
      <c r="L61" s="40">
        <f>$C$51*40%</f>
        <v>111.62674094707521</v>
      </c>
      <c r="M61" s="3">
        <f>$C$52*15%</f>
        <v>4.245127118644068</v>
      </c>
      <c r="N61" s="3">
        <f>$C$52*40%</f>
        <v>11.320338983050849</v>
      </c>
      <c r="O61" s="40">
        <f>$C$53*15%</f>
        <v>5.9633928571428578</v>
      </c>
      <c r="P61" s="40">
        <f>$C$53*40%</f>
        <v>15.902380952380955</v>
      </c>
      <c r="Q61" s="25">
        <f>$D$49*15%</f>
        <v>0</v>
      </c>
      <c r="R61" s="25">
        <f>$D$49*40%</f>
        <v>0</v>
      </c>
      <c r="S61" s="40">
        <f>D50*15%</f>
        <v>300.55499999999995</v>
      </c>
      <c r="T61" s="40">
        <f>D50*40%</f>
        <v>801.48</v>
      </c>
      <c r="U61" s="3">
        <f>$D$51*15%</f>
        <v>139.533426183844</v>
      </c>
      <c r="V61" s="3">
        <f>$D$51*40%</f>
        <v>372.08913649025072</v>
      </c>
      <c r="W61" s="40">
        <f>$D$52*15%</f>
        <v>8.490254237288136</v>
      </c>
      <c r="X61" s="40">
        <f>$D$52*40%</f>
        <v>22.640677966101698</v>
      </c>
      <c r="Y61" s="3">
        <f>$D$53*15%</f>
        <v>11.926785714285716</v>
      </c>
      <c r="Z61" s="3">
        <f>$D$53*40%</f>
        <v>31.804761904761911</v>
      </c>
      <c r="AA61" s="40">
        <f>$C$49*15%</f>
        <v>71.560714285714297</v>
      </c>
      <c r="AB61" s="40">
        <f>$E$49*40%</f>
        <v>211.44525547445255</v>
      </c>
      <c r="AC61" s="3">
        <f>E50*15%</f>
        <v>977.67</v>
      </c>
      <c r="AD61" s="3">
        <f>E50*40%</f>
        <v>2607.1200000000003</v>
      </c>
      <c r="AE61" s="40">
        <f>$E$51*15%</f>
        <v>0</v>
      </c>
      <c r="AF61" s="40">
        <f>$E$51*40%</f>
        <v>0</v>
      </c>
      <c r="AG61" s="3">
        <v>0</v>
      </c>
      <c r="AH61" s="3">
        <v>0</v>
      </c>
      <c r="AI61" s="40">
        <v>0</v>
      </c>
      <c r="AJ61" s="40">
        <v>0</v>
      </c>
      <c r="AK61" s="25">
        <v>0</v>
      </c>
      <c r="AL61" s="25">
        <v>0</v>
      </c>
      <c r="AM61" s="40">
        <f>F50*15%</f>
        <v>434.52000000000004</v>
      </c>
      <c r="AN61" s="40">
        <f>F50*40%</f>
        <v>1158.72</v>
      </c>
      <c r="AO61" s="3">
        <f>$F$51*15%</f>
        <v>158.81578947368422</v>
      </c>
      <c r="AP61" s="3">
        <f>$F$51*40%</f>
        <v>423.50877192982466</v>
      </c>
      <c r="AQ61" s="40">
        <f>$F$52*15%</f>
        <v>4.9065040650406511</v>
      </c>
      <c r="AR61" s="40">
        <f>$F$52*40%</f>
        <v>13.084010840108403</v>
      </c>
      <c r="AS61" s="3">
        <f>$F$53*15%</f>
        <v>6.6076642335766413</v>
      </c>
      <c r="AT61" s="3">
        <f>$F$53*40%</f>
        <v>17.62043795620438</v>
      </c>
      <c r="AU61" s="25">
        <v>0</v>
      </c>
      <c r="AV61" s="25">
        <v>0</v>
      </c>
      <c r="AW61" s="40">
        <f>P50*15%</f>
        <v>0</v>
      </c>
      <c r="AX61" s="40">
        <f>P50*40%</f>
        <v>0</v>
      </c>
      <c r="AY61" s="3">
        <f>$G$51*15%</f>
        <v>254.07017543859649</v>
      </c>
      <c r="AZ61" s="3">
        <f>$G$51*40%</f>
        <v>677.52046783625747</v>
      </c>
      <c r="BA61" s="40">
        <f>$G$52*15%</f>
        <v>9.8116531165311649</v>
      </c>
      <c r="BB61" s="40">
        <f>$G$52*40%</f>
        <v>26.164408310749778</v>
      </c>
      <c r="BC61" s="3">
        <f>$G$53*15%</f>
        <v>13.213503649635035</v>
      </c>
      <c r="BD61" s="3">
        <f>$G$53*40%</f>
        <v>35.236009732360095</v>
      </c>
    </row>
    <row r="62" spans="2:56" ht="17" x14ac:dyDescent="0.2">
      <c r="B62" s="29">
        <v>45931</v>
      </c>
      <c r="C62" s="30">
        <v>0.27084490740740741</v>
      </c>
      <c r="D62" s="30">
        <v>0.29166666666666669</v>
      </c>
      <c r="E62" s="3" t="s">
        <v>64</v>
      </c>
      <c r="F62" s="2" t="s">
        <v>7</v>
      </c>
      <c r="G62" s="40">
        <f>C49*40%</f>
        <v>190.82857142857148</v>
      </c>
      <c r="H62" s="40">
        <f>C49*70%</f>
        <v>333.95000000000005</v>
      </c>
      <c r="I62" s="3">
        <f>C50*40%</f>
        <v>1736.5400000000002</v>
      </c>
      <c r="J62" s="3">
        <f>C50*70%</f>
        <v>3038.9450000000002</v>
      </c>
      <c r="K62" s="40">
        <f>$C$51*40%</f>
        <v>111.62674094707521</v>
      </c>
      <c r="L62" s="40">
        <f>$C$51*70%</f>
        <v>195.34679665738159</v>
      </c>
      <c r="M62" s="3">
        <f>$C$52*40%</f>
        <v>11.320338983050849</v>
      </c>
      <c r="N62" s="3">
        <f>$C$52*70%</f>
        <v>19.810593220338983</v>
      </c>
      <c r="O62" s="40">
        <f>$C$53*40%</f>
        <v>15.902380952380955</v>
      </c>
      <c r="P62" s="40">
        <f>$C$53*70%</f>
        <v>27.829166666666669</v>
      </c>
      <c r="Q62" s="25">
        <f>D49*40%</f>
        <v>0</v>
      </c>
      <c r="R62" s="25">
        <f>D49*70%</f>
        <v>0</v>
      </c>
      <c r="S62" s="40">
        <f>D50*40%</f>
        <v>801.48</v>
      </c>
      <c r="T62" s="40">
        <f>D50*70%</f>
        <v>1402.5899999999997</v>
      </c>
      <c r="U62" s="3">
        <f>$D$51*40%</f>
        <v>372.08913649025072</v>
      </c>
      <c r="V62" s="3">
        <f>$D$51*70%</f>
        <v>651.15598885793872</v>
      </c>
      <c r="W62" s="40">
        <f>$D$52*40%</f>
        <v>22.640677966101698</v>
      </c>
      <c r="X62" s="40">
        <f>$D$52*70%</f>
        <v>39.621186440677967</v>
      </c>
      <c r="Y62" s="3">
        <f>$D$53*40%</f>
        <v>31.804761904761911</v>
      </c>
      <c r="Z62" s="3">
        <f>$D$53*70%</f>
        <v>55.658333333333339</v>
      </c>
      <c r="AA62" s="40">
        <f>E49*40%</f>
        <v>211.44525547445255</v>
      </c>
      <c r="AB62" s="40">
        <f>E49*70%</f>
        <v>370.02919708029196</v>
      </c>
      <c r="AC62" s="3">
        <f>E50*40%</f>
        <v>2607.1200000000003</v>
      </c>
      <c r="AD62" s="3">
        <f>E50*70%</f>
        <v>4562.46</v>
      </c>
      <c r="AE62" s="40">
        <f>$E$51*40%</f>
        <v>0</v>
      </c>
      <c r="AF62" s="40">
        <f>$E$51*70%</f>
        <v>0</v>
      </c>
      <c r="AG62" s="3">
        <v>0</v>
      </c>
      <c r="AH62" s="3">
        <v>0</v>
      </c>
      <c r="AI62" s="40">
        <v>0</v>
      </c>
      <c r="AJ62" s="40">
        <v>0</v>
      </c>
      <c r="AK62" s="25">
        <v>0</v>
      </c>
      <c r="AL62" s="25">
        <v>0</v>
      </c>
      <c r="AM62" s="40">
        <f>F50*40%</f>
        <v>1158.72</v>
      </c>
      <c r="AN62" s="40">
        <f>F50*70%</f>
        <v>2027.76</v>
      </c>
      <c r="AO62" s="3">
        <f>$F$51*40%</f>
        <v>423.50877192982466</v>
      </c>
      <c r="AP62" s="3">
        <f>$F$51*70%</f>
        <v>741.14035087719299</v>
      </c>
      <c r="AQ62" s="40">
        <f>$F$52*40%</f>
        <v>13.084010840108403</v>
      </c>
      <c r="AR62" s="40">
        <f>$F$52*70%</f>
        <v>22.897018970189702</v>
      </c>
      <c r="AS62" s="3">
        <f>$F$53*40%</f>
        <v>17.62043795620438</v>
      </c>
      <c r="AT62" s="3">
        <f>$F$53*70%</f>
        <v>30.835766423357661</v>
      </c>
      <c r="AU62" s="25">
        <v>0</v>
      </c>
      <c r="AV62" s="25">
        <v>0</v>
      </c>
      <c r="AW62" s="40">
        <f>P50*40%</f>
        <v>0</v>
      </c>
      <c r="AX62" s="40">
        <f>P50*70%</f>
        <v>0</v>
      </c>
      <c r="AY62" s="3">
        <f>$G$51*40%</f>
        <v>677.52046783625747</v>
      </c>
      <c r="AZ62" s="3">
        <f>$G$51*70%</f>
        <v>1185.6608187134502</v>
      </c>
      <c r="BA62" s="40">
        <f>$G$52*40%</f>
        <v>26.164408310749778</v>
      </c>
      <c r="BB62" s="40">
        <f>$G$52*70%</f>
        <v>45.7877145438121</v>
      </c>
      <c r="BC62" s="3">
        <f>$G$53*40%</f>
        <v>35.236009732360095</v>
      </c>
      <c r="BD62" s="3">
        <f>$G$53*70%</f>
        <v>61.663017031630162</v>
      </c>
    </row>
    <row r="63" spans="2:56" ht="17" x14ac:dyDescent="0.2">
      <c r="B63" s="29">
        <v>45931</v>
      </c>
      <c r="C63" s="30">
        <v>0.29167824074074072</v>
      </c>
      <c r="D63" s="30">
        <v>0.375</v>
      </c>
      <c r="E63" s="3" t="s">
        <v>63</v>
      </c>
      <c r="F63" s="2" t="s">
        <v>10</v>
      </c>
      <c r="G63" s="40">
        <f>C49*70%</f>
        <v>333.95000000000005</v>
      </c>
      <c r="H63" s="40">
        <f>C49*95%</f>
        <v>453.21785714285721</v>
      </c>
      <c r="I63" s="3">
        <f>C50*70%</f>
        <v>3038.9450000000002</v>
      </c>
      <c r="J63" s="3">
        <f>C50*95%</f>
        <v>4124.2825000000003</v>
      </c>
      <c r="K63" s="40">
        <f>$C$51*70%</f>
        <v>195.34679665738159</v>
      </c>
      <c r="L63" s="40">
        <f>$C$51*95%</f>
        <v>265.1135097493036</v>
      </c>
      <c r="M63" s="3">
        <f>$C$52*70%</f>
        <v>19.810593220338983</v>
      </c>
      <c r="N63" s="3">
        <f>$C$52*95%</f>
        <v>26.885805084745765</v>
      </c>
      <c r="O63" s="40">
        <f>$C$53*70%</f>
        <v>27.829166666666669</v>
      </c>
      <c r="P63" s="40">
        <f>$C$53*95%</f>
        <v>37.768154761904768</v>
      </c>
      <c r="Q63" s="25">
        <f>D49*70%</f>
        <v>0</v>
      </c>
      <c r="R63" s="25">
        <f>D49*95%</f>
        <v>0</v>
      </c>
      <c r="S63" s="40">
        <f>D50*70%</f>
        <v>1402.5899999999997</v>
      </c>
      <c r="T63" s="40">
        <f>D50*95%</f>
        <v>1903.5149999999996</v>
      </c>
      <c r="U63" s="3">
        <f>$D$51*70%</f>
        <v>651.15598885793872</v>
      </c>
      <c r="V63" s="3">
        <f>$D$51*95%</f>
        <v>883.71169916434542</v>
      </c>
      <c r="W63" s="40">
        <f>$D$52*70%</f>
        <v>39.621186440677967</v>
      </c>
      <c r="X63" s="40">
        <f>$D$52*95%</f>
        <v>53.771610169491531</v>
      </c>
      <c r="Y63" s="3">
        <f>$D$53*70%</f>
        <v>55.658333333333339</v>
      </c>
      <c r="Z63" s="3">
        <f>$D$53*95%</f>
        <v>75.536309523809535</v>
      </c>
      <c r="AA63" s="40">
        <f>E49*70%</f>
        <v>370.02919708029196</v>
      </c>
      <c r="AB63" s="40">
        <f>E49*95%</f>
        <v>502.18248175182481</v>
      </c>
      <c r="AC63" s="3">
        <f>E50*70%</f>
        <v>4562.46</v>
      </c>
      <c r="AD63" s="3">
        <f>E50*95%</f>
        <v>6191.91</v>
      </c>
      <c r="AE63" s="40">
        <f>$E$51*70%</f>
        <v>0</v>
      </c>
      <c r="AF63" s="40">
        <f>$E$51*95%</f>
        <v>0</v>
      </c>
      <c r="AG63" s="3">
        <v>0</v>
      </c>
      <c r="AH63" s="3">
        <v>0</v>
      </c>
      <c r="AI63" s="40">
        <v>0</v>
      </c>
      <c r="AJ63" s="40">
        <v>0</v>
      </c>
      <c r="AK63" s="25">
        <v>0</v>
      </c>
      <c r="AL63" s="25">
        <v>0</v>
      </c>
      <c r="AM63" s="40">
        <f>F50*70%</f>
        <v>2027.76</v>
      </c>
      <c r="AN63" s="40">
        <f>F50*95%</f>
        <v>2751.96</v>
      </c>
      <c r="AO63" s="3">
        <f>$F$51*70%</f>
        <v>741.14035087719299</v>
      </c>
      <c r="AP63" s="3">
        <f>$F$51*95%</f>
        <v>1005.8333333333334</v>
      </c>
      <c r="AQ63" s="40">
        <f>$F$52*70%</f>
        <v>22.897018970189702</v>
      </c>
      <c r="AR63" s="40">
        <f>$F$52*95%</f>
        <v>31.074525745257453</v>
      </c>
      <c r="AS63" s="3">
        <f>$F$53*70%</f>
        <v>30.835766423357661</v>
      </c>
      <c r="AT63" s="3">
        <f>$F$53*95%</f>
        <v>41.848540145985396</v>
      </c>
      <c r="AU63" s="25">
        <v>0</v>
      </c>
      <c r="AV63" s="25">
        <v>0</v>
      </c>
      <c r="AW63" s="40">
        <f>P50*70%</f>
        <v>0</v>
      </c>
      <c r="AX63" s="40">
        <f>P50*95%</f>
        <v>0</v>
      </c>
      <c r="AY63" s="3">
        <f>$G$51*70%</f>
        <v>1185.6608187134502</v>
      </c>
      <c r="AZ63" s="3">
        <f>$G$51*95%</f>
        <v>1609.1111111111111</v>
      </c>
      <c r="BA63" s="40">
        <f>$G$52*70%</f>
        <v>45.7877145438121</v>
      </c>
      <c r="BB63" s="40">
        <f>$G$52*95%</f>
        <v>62.14046973803071</v>
      </c>
      <c r="BC63" s="3">
        <f>$G$53*70%</f>
        <v>61.663017031630162</v>
      </c>
      <c r="BD63" s="3">
        <f>$G$53*95%</f>
        <v>83.68552311435522</v>
      </c>
    </row>
    <row r="64" spans="2:56" ht="17" x14ac:dyDescent="0.2">
      <c r="B64" s="29">
        <v>45931</v>
      </c>
      <c r="C64" s="30">
        <v>0.37501157407407404</v>
      </c>
      <c r="D64" s="30">
        <v>0.4375</v>
      </c>
      <c r="E64" s="3" t="s">
        <v>62</v>
      </c>
      <c r="F64" s="2" t="s">
        <v>5</v>
      </c>
      <c r="G64" s="40">
        <f>C49*15%</f>
        <v>71.560714285714297</v>
      </c>
      <c r="H64" s="40">
        <f>C49*40%</f>
        <v>190.82857142857148</v>
      </c>
      <c r="I64" s="3">
        <f>C50*15%</f>
        <v>651.20249999999999</v>
      </c>
      <c r="J64" s="3">
        <f>C50*40%</f>
        <v>1736.5400000000002</v>
      </c>
      <c r="K64" s="40">
        <f>$C$51*15%</f>
        <v>41.860027855153199</v>
      </c>
      <c r="L64" s="40">
        <f>$C$51*40%</f>
        <v>111.62674094707521</v>
      </c>
      <c r="M64" s="3">
        <f>$C$52*15%</f>
        <v>4.245127118644068</v>
      </c>
      <c r="N64" s="3">
        <f>$C$52*40%</f>
        <v>11.320338983050849</v>
      </c>
      <c r="O64" s="40">
        <f>$C$53*15%</f>
        <v>5.9633928571428578</v>
      </c>
      <c r="P64" s="40">
        <f>$C$53*40%</f>
        <v>15.902380952380955</v>
      </c>
      <c r="Q64" s="25">
        <f>D49*15%</f>
        <v>0</v>
      </c>
      <c r="R64" s="25">
        <f>D49*40%</f>
        <v>0</v>
      </c>
      <c r="S64" s="40">
        <f>D50*15%</f>
        <v>300.55499999999995</v>
      </c>
      <c r="T64" s="40">
        <f>D50*40%</f>
        <v>801.48</v>
      </c>
      <c r="U64" s="3">
        <f>$D$51*15%</f>
        <v>139.533426183844</v>
      </c>
      <c r="V64" s="3">
        <f>$D$51*40%</f>
        <v>372.08913649025072</v>
      </c>
      <c r="W64" s="40">
        <f>$D$52*15%</f>
        <v>8.490254237288136</v>
      </c>
      <c r="X64" s="40">
        <f>$D$52*40%</f>
        <v>22.640677966101698</v>
      </c>
      <c r="Y64" s="3">
        <f>$D$53*15%</f>
        <v>11.926785714285716</v>
      </c>
      <c r="Z64" s="3">
        <f>$D$53*40%</f>
        <v>31.804761904761911</v>
      </c>
      <c r="AA64" s="40">
        <f>E49*15%</f>
        <v>79.291970802919707</v>
      </c>
      <c r="AB64" s="40">
        <f>E49*40%</f>
        <v>211.44525547445255</v>
      </c>
      <c r="AC64" s="3">
        <f>E50*15%</f>
        <v>977.67</v>
      </c>
      <c r="AD64" s="3">
        <f>E50*40%</f>
        <v>2607.1200000000003</v>
      </c>
      <c r="AE64" s="40">
        <f>$E$51*15%</f>
        <v>0</v>
      </c>
      <c r="AF64" s="40">
        <f>$E$51*40%</f>
        <v>0</v>
      </c>
      <c r="AG64" s="3">
        <v>0</v>
      </c>
      <c r="AH64" s="3">
        <v>0</v>
      </c>
      <c r="AI64" s="40">
        <v>0</v>
      </c>
      <c r="AJ64" s="40">
        <v>0</v>
      </c>
      <c r="AK64" s="25">
        <v>0</v>
      </c>
      <c r="AL64" s="25">
        <v>0</v>
      </c>
      <c r="AM64" s="40">
        <f>F50*15%</f>
        <v>434.52000000000004</v>
      </c>
      <c r="AN64" s="40">
        <f>F50*40%</f>
        <v>1158.72</v>
      </c>
      <c r="AO64" s="3">
        <f>$F$51*15%</f>
        <v>158.81578947368422</v>
      </c>
      <c r="AP64" s="3">
        <f>$F$51*40%</f>
        <v>423.50877192982466</v>
      </c>
      <c r="AQ64" s="40">
        <f>$F$52*15%</f>
        <v>4.9065040650406511</v>
      </c>
      <c r="AR64" s="40">
        <f>$F$52*40%</f>
        <v>13.084010840108403</v>
      </c>
      <c r="AS64" s="3">
        <f>$F$53*15%</f>
        <v>6.6076642335766413</v>
      </c>
      <c r="AT64" s="3">
        <f>$F$53*40%</f>
        <v>17.62043795620438</v>
      </c>
      <c r="AU64" s="25">
        <v>0</v>
      </c>
      <c r="AV64" s="25">
        <v>0</v>
      </c>
      <c r="AW64" s="40">
        <f>P50*15%</f>
        <v>0</v>
      </c>
      <c r="AX64" s="40">
        <f>P50*40%</f>
        <v>0</v>
      </c>
      <c r="AY64" s="3">
        <f>$G$51*15%</f>
        <v>254.07017543859649</v>
      </c>
      <c r="AZ64" s="3">
        <f>$G$51*40%</f>
        <v>677.52046783625747</v>
      </c>
      <c r="BA64" s="40">
        <f>$G$52*15%</f>
        <v>9.8116531165311649</v>
      </c>
      <c r="BB64" s="40">
        <f>$G$52*40%</f>
        <v>26.164408310749778</v>
      </c>
      <c r="BC64" s="3">
        <f>$G$53*15%</f>
        <v>13.213503649635035</v>
      </c>
      <c r="BD64" s="3">
        <f>$G$53*40%</f>
        <v>35.236009732360095</v>
      </c>
    </row>
    <row r="65" spans="2:56" ht="17" x14ac:dyDescent="0.2">
      <c r="B65" s="29">
        <v>45931</v>
      </c>
      <c r="C65" s="30">
        <v>0.43751157407407404</v>
      </c>
      <c r="D65" s="30">
        <v>0.58333333333333337</v>
      </c>
      <c r="E65" s="3" t="s">
        <v>64</v>
      </c>
      <c r="F65" s="2" t="s">
        <v>7</v>
      </c>
      <c r="G65" s="40">
        <f>C49*40%</f>
        <v>190.82857142857148</v>
      </c>
      <c r="H65" s="40">
        <f>C49*70%</f>
        <v>333.95000000000005</v>
      </c>
      <c r="I65" s="3">
        <f>C50*40%</f>
        <v>1736.5400000000002</v>
      </c>
      <c r="J65" s="3">
        <f>C50*70%</f>
        <v>3038.9450000000002</v>
      </c>
      <c r="K65" s="40">
        <f>$C$51*40%</f>
        <v>111.62674094707521</v>
      </c>
      <c r="L65" s="40">
        <f>$C$51*70%</f>
        <v>195.34679665738159</v>
      </c>
      <c r="M65" s="3">
        <f>$C$52*40%</f>
        <v>11.320338983050849</v>
      </c>
      <c r="N65" s="3">
        <f>$C$52*70%</f>
        <v>19.810593220338983</v>
      </c>
      <c r="O65" s="40">
        <f>$C$53*40%</f>
        <v>15.902380952380955</v>
      </c>
      <c r="P65" s="40">
        <f>$C$53*70%</f>
        <v>27.829166666666669</v>
      </c>
      <c r="Q65" s="25">
        <f>D49*40%</f>
        <v>0</v>
      </c>
      <c r="R65" s="25">
        <f>D49*70%</f>
        <v>0</v>
      </c>
      <c r="S65" s="40">
        <f>D50*40%</f>
        <v>801.48</v>
      </c>
      <c r="T65" s="40">
        <f>D50*70%</f>
        <v>1402.5899999999997</v>
      </c>
      <c r="U65" s="3">
        <f>$D$51*40%</f>
        <v>372.08913649025072</v>
      </c>
      <c r="V65" s="3">
        <f>$D$51*70%</f>
        <v>651.15598885793872</v>
      </c>
      <c r="W65" s="40">
        <f>$D$52*40%</f>
        <v>22.640677966101698</v>
      </c>
      <c r="X65" s="40">
        <f>$D$52*70%</f>
        <v>39.621186440677967</v>
      </c>
      <c r="Y65" s="3">
        <f>$D$53*40%</f>
        <v>31.804761904761911</v>
      </c>
      <c r="Z65" s="3">
        <f>$D$53*70%</f>
        <v>55.658333333333339</v>
      </c>
      <c r="AA65" s="40">
        <f>E49*40%</f>
        <v>211.44525547445255</v>
      </c>
      <c r="AB65" s="40">
        <f>E49*70%</f>
        <v>370.02919708029196</v>
      </c>
      <c r="AC65" s="3">
        <f>E50*40%</f>
        <v>2607.1200000000003</v>
      </c>
      <c r="AD65" s="3">
        <f>E50*70%</f>
        <v>4562.46</v>
      </c>
      <c r="AE65" s="40">
        <f>$E$51*40%</f>
        <v>0</v>
      </c>
      <c r="AF65" s="40">
        <f>$E$51*70%</f>
        <v>0</v>
      </c>
      <c r="AG65" s="3">
        <v>0</v>
      </c>
      <c r="AH65" s="3">
        <v>0</v>
      </c>
      <c r="AI65" s="40">
        <v>0</v>
      </c>
      <c r="AJ65" s="40">
        <v>0</v>
      </c>
      <c r="AK65" s="25">
        <v>0</v>
      </c>
      <c r="AL65" s="25">
        <v>0</v>
      </c>
      <c r="AM65" s="40">
        <f>F50*40%</f>
        <v>1158.72</v>
      </c>
      <c r="AN65" s="40">
        <f>F50*70%</f>
        <v>2027.76</v>
      </c>
      <c r="AO65" s="3">
        <f>$F$51*40%</f>
        <v>423.50877192982466</v>
      </c>
      <c r="AP65" s="3">
        <f>$F$51*70%</f>
        <v>741.14035087719299</v>
      </c>
      <c r="AQ65" s="40">
        <f>$F$52*40%</f>
        <v>13.084010840108403</v>
      </c>
      <c r="AR65" s="40">
        <f>$F$52*70%</f>
        <v>22.897018970189702</v>
      </c>
      <c r="AS65" s="3">
        <f>$F$53*40%</f>
        <v>17.62043795620438</v>
      </c>
      <c r="AT65" s="3">
        <f>$F$53*70%</f>
        <v>30.835766423357661</v>
      </c>
      <c r="AU65" s="25">
        <v>0</v>
      </c>
      <c r="AV65" s="25">
        <v>0</v>
      </c>
      <c r="AW65" s="40">
        <f>P50*40%</f>
        <v>0</v>
      </c>
      <c r="AX65" s="40">
        <f>P50*70%</f>
        <v>0</v>
      </c>
      <c r="AY65" s="3">
        <f>$G$51*40%</f>
        <v>677.52046783625747</v>
      </c>
      <c r="AZ65" s="3">
        <f>$G$51*70%</f>
        <v>1185.6608187134502</v>
      </c>
      <c r="BA65" s="40">
        <f>$G$52*40%</f>
        <v>26.164408310749778</v>
      </c>
      <c r="BB65" s="40">
        <f>$G$52*70%</f>
        <v>45.7877145438121</v>
      </c>
      <c r="BC65" s="3">
        <f>$G$53*40%</f>
        <v>35.236009732360095</v>
      </c>
      <c r="BD65" s="3">
        <f>$G$53*70%</f>
        <v>61.663017031630162</v>
      </c>
    </row>
    <row r="66" spans="2:56" ht="17" x14ac:dyDescent="0.2">
      <c r="B66" s="29">
        <v>45931</v>
      </c>
      <c r="C66" s="30">
        <v>0.58334490740740741</v>
      </c>
      <c r="D66" s="30">
        <v>0.66666666666666663</v>
      </c>
      <c r="E66" s="3" t="s">
        <v>62</v>
      </c>
      <c r="F66" s="2" t="s">
        <v>5</v>
      </c>
      <c r="G66" s="40">
        <f>C49*15%</f>
        <v>71.560714285714297</v>
      </c>
      <c r="H66" s="40">
        <f>C49*40%</f>
        <v>190.82857142857148</v>
      </c>
      <c r="I66" s="3">
        <f>C50*15%</f>
        <v>651.20249999999999</v>
      </c>
      <c r="J66" s="3">
        <f>C50*40%</f>
        <v>1736.5400000000002</v>
      </c>
      <c r="K66" s="40">
        <f>$C$51*15%</f>
        <v>41.860027855153199</v>
      </c>
      <c r="L66" s="40">
        <f>$C$51*40%</f>
        <v>111.62674094707521</v>
      </c>
      <c r="M66" s="3">
        <f>$C$52*15%</f>
        <v>4.245127118644068</v>
      </c>
      <c r="N66" s="3">
        <f>$C$52*40%</f>
        <v>11.320338983050849</v>
      </c>
      <c r="O66" s="40">
        <f>$C$53*15%</f>
        <v>5.9633928571428578</v>
      </c>
      <c r="P66" s="40">
        <f>$C$53*40%</f>
        <v>15.902380952380955</v>
      </c>
      <c r="Q66" s="25">
        <f>D49*15%</f>
        <v>0</v>
      </c>
      <c r="R66" s="25">
        <f>D49*40%</f>
        <v>0</v>
      </c>
      <c r="S66" s="40">
        <f>D50*15%</f>
        <v>300.55499999999995</v>
      </c>
      <c r="T66" s="40">
        <f>D50*40%</f>
        <v>801.48</v>
      </c>
      <c r="U66" s="3">
        <f>$D$51*15%</f>
        <v>139.533426183844</v>
      </c>
      <c r="V66" s="3">
        <f>$D$51*40%</f>
        <v>372.08913649025072</v>
      </c>
      <c r="W66" s="40">
        <f>$D$52*15%</f>
        <v>8.490254237288136</v>
      </c>
      <c r="X66" s="40">
        <f>$D$52*40%</f>
        <v>22.640677966101698</v>
      </c>
      <c r="Y66" s="3">
        <f>$D$53*15%</f>
        <v>11.926785714285716</v>
      </c>
      <c r="Z66" s="3">
        <f>$D$53*40%</f>
        <v>31.804761904761911</v>
      </c>
      <c r="AA66" s="40">
        <f>E49*15%</f>
        <v>79.291970802919707</v>
      </c>
      <c r="AB66" s="40">
        <f>E49*40%</f>
        <v>211.44525547445255</v>
      </c>
      <c r="AC66" s="3">
        <f>E50*15%</f>
        <v>977.67</v>
      </c>
      <c r="AD66" s="3">
        <f>E50*40%</f>
        <v>2607.1200000000003</v>
      </c>
      <c r="AE66" s="40">
        <f>$E$51*15%</f>
        <v>0</v>
      </c>
      <c r="AF66" s="40">
        <f>$E$51*40%</f>
        <v>0</v>
      </c>
      <c r="AG66" s="3">
        <v>0</v>
      </c>
      <c r="AH66" s="3">
        <v>0</v>
      </c>
      <c r="AI66" s="40">
        <v>0</v>
      </c>
      <c r="AJ66" s="40">
        <v>0</v>
      </c>
      <c r="AK66" s="25">
        <v>0</v>
      </c>
      <c r="AL66" s="25">
        <v>0</v>
      </c>
      <c r="AM66" s="40">
        <f>F50*15%</f>
        <v>434.52000000000004</v>
      </c>
      <c r="AN66" s="40">
        <f>F50*40%</f>
        <v>1158.72</v>
      </c>
      <c r="AO66" s="3">
        <f>$F$51*15%</f>
        <v>158.81578947368422</v>
      </c>
      <c r="AP66" s="3">
        <f>$F$51*40%</f>
        <v>423.50877192982466</v>
      </c>
      <c r="AQ66" s="40">
        <f>$F$52*15%</f>
        <v>4.9065040650406511</v>
      </c>
      <c r="AR66" s="40">
        <f>$F$52*40%</f>
        <v>13.084010840108403</v>
      </c>
      <c r="AS66" s="3">
        <f>$F$53*15%</f>
        <v>6.6076642335766413</v>
      </c>
      <c r="AT66" s="3">
        <f>$F$53*40%</f>
        <v>17.62043795620438</v>
      </c>
      <c r="AU66" s="25">
        <v>0</v>
      </c>
      <c r="AV66" s="25">
        <v>0</v>
      </c>
      <c r="AW66" s="40">
        <f>P50*15%</f>
        <v>0</v>
      </c>
      <c r="AX66" s="40">
        <f>P50*40%</f>
        <v>0</v>
      </c>
      <c r="AY66" s="3">
        <f>$G$51*15%</f>
        <v>254.07017543859649</v>
      </c>
      <c r="AZ66" s="3">
        <f>$G$51*40%</f>
        <v>677.52046783625747</v>
      </c>
      <c r="BA66" s="40">
        <f>$G$52*15%</f>
        <v>9.8116531165311649</v>
      </c>
      <c r="BB66" s="40">
        <f>$G$52*40%</f>
        <v>26.164408310749778</v>
      </c>
      <c r="BC66" s="3">
        <f>$G$53*15%</f>
        <v>13.213503649635035</v>
      </c>
      <c r="BD66" s="3">
        <f>$G$53*40%</f>
        <v>35.236009732360095</v>
      </c>
    </row>
    <row r="67" spans="2:56" ht="17" x14ac:dyDescent="0.2">
      <c r="B67" s="29">
        <v>45931</v>
      </c>
      <c r="C67" s="30">
        <v>0.66667824074074078</v>
      </c>
      <c r="D67" s="30">
        <v>0.79166666666666663</v>
      </c>
      <c r="E67" s="3" t="s">
        <v>63</v>
      </c>
      <c r="F67" s="2" t="s">
        <v>10</v>
      </c>
      <c r="G67" s="40">
        <f>C49*70%</f>
        <v>333.95000000000005</v>
      </c>
      <c r="H67" s="40">
        <f>C49*95%</f>
        <v>453.21785714285721</v>
      </c>
      <c r="I67" s="3">
        <f>C50*70%</f>
        <v>3038.9450000000002</v>
      </c>
      <c r="J67" s="3">
        <f>C50*95%</f>
        <v>4124.2825000000003</v>
      </c>
      <c r="K67" s="40">
        <f>$C$51*70%</f>
        <v>195.34679665738159</v>
      </c>
      <c r="L67" s="40">
        <f>$C$51*95%</f>
        <v>265.1135097493036</v>
      </c>
      <c r="M67" s="3">
        <f>$C$52*70%</f>
        <v>19.810593220338983</v>
      </c>
      <c r="N67" s="3">
        <f>$C$52*95%</f>
        <v>26.885805084745765</v>
      </c>
      <c r="O67" s="40">
        <f>$C$53*70%</f>
        <v>27.829166666666669</v>
      </c>
      <c r="P67" s="40">
        <f>$C$53*95%</f>
        <v>37.768154761904768</v>
      </c>
      <c r="Q67" s="25">
        <f>D49*70%</f>
        <v>0</v>
      </c>
      <c r="R67" s="25">
        <f>D49*95%</f>
        <v>0</v>
      </c>
      <c r="S67" s="40">
        <f>D50*70%</f>
        <v>1402.5899999999997</v>
      </c>
      <c r="T67" s="40">
        <f>D50*95%</f>
        <v>1903.5149999999996</v>
      </c>
      <c r="U67" s="3">
        <f>$D$51*70%</f>
        <v>651.15598885793872</v>
      </c>
      <c r="V67" s="3">
        <f>$D$51*95%</f>
        <v>883.71169916434542</v>
      </c>
      <c r="W67" s="40">
        <f>$D$52*70%</f>
        <v>39.621186440677967</v>
      </c>
      <c r="X67" s="40">
        <f>$D$52*95%</f>
        <v>53.771610169491531</v>
      </c>
      <c r="Y67" s="3">
        <f>$D$53*70%</f>
        <v>55.658333333333339</v>
      </c>
      <c r="Z67" s="3">
        <f>$D$53*95%</f>
        <v>75.536309523809535</v>
      </c>
      <c r="AA67" s="40">
        <f>E49*70%</f>
        <v>370.02919708029196</v>
      </c>
      <c r="AB67" s="40">
        <f>E49*95%</f>
        <v>502.18248175182481</v>
      </c>
      <c r="AC67" s="3">
        <f>E50*70%</f>
        <v>4562.46</v>
      </c>
      <c r="AD67" s="3">
        <f>E50*95%</f>
        <v>6191.91</v>
      </c>
      <c r="AE67" s="40">
        <f>$E$51*70%</f>
        <v>0</v>
      </c>
      <c r="AF67" s="40">
        <f>$E$51*95%</f>
        <v>0</v>
      </c>
      <c r="AG67" s="3">
        <v>0</v>
      </c>
      <c r="AH67" s="3">
        <v>0</v>
      </c>
      <c r="AI67" s="40">
        <v>0</v>
      </c>
      <c r="AJ67" s="40">
        <v>0</v>
      </c>
      <c r="AK67" s="25">
        <v>0</v>
      </c>
      <c r="AL67" s="25">
        <v>0</v>
      </c>
      <c r="AM67" s="40">
        <f>F50*70%</f>
        <v>2027.76</v>
      </c>
      <c r="AN67" s="40">
        <f>F50*95%</f>
        <v>2751.96</v>
      </c>
      <c r="AO67" s="3">
        <f>$F$51*70%</f>
        <v>741.14035087719299</v>
      </c>
      <c r="AP67" s="3">
        <f>$F$51*95%</f>
        <v>1005.8333333333334</v>
      </c>
      <c r="AQ67" s="40">
        <f>$F$52*70%</f>
        <v>22.897018970189702</v>
      </c>
      <c r="AR67" s="40">
        <f>$F$52*95%</f>
        <v>31.074525745257453</v>
      </c>
      <c r="AS67" s="3">
        <f>$F$53*70%</f>
        <v>30.835766423357661</v>
      </c>
      <c r="AT67" s="3">
        <f>$F$53*95%</f>
        <v>41.848540145985396</v>
      </c>
      <c r="AU67" s="25">
        <v>0</v>
      </c>
      <c r="AV67" s="25">
        <v>0</v>
      </c>
      <c r="AW67" s="40">
        <f>P50*70%</f>
        <v>0</v>
      </c>
      <c r="AX67" s="40">
        <f>P50*95%</f>
        <v>0</v>
      </c>
      <c r="AY67" s="3">
        <f>$G$51*70%</f>
        <v>1185.6608187134502</v>
      </c>
      <c r="AZ67" s="3">
        <f>$G$51*95%</f>
        <v>1609.1111111111111</v>
      </c>
      <c r="BA67" s="40">
        <f>$G$52*70%</f>
        <v>45.7877145438121</v>
      </c>
      <c r="BB67" s="40">
        <f>$G$52*95%</f>
        <v>62.14046973803071</v>
      </c>
      <c r="BC67" s="3">
        <f>$G$53*70%</f>
        <v>61.663017031630162</v>
      </c>
      <c r="BD67" s="3">
        <f>$G$53*95%</f>
        <v>83.68552311435522</v>
      </c>
    </row>
    <row r="68" spans="2:56" ht="17" x14ac:dyDescent="0.2">
      <c r="B68" s="29">
        <v>45931</v>
      </c>
      <c r="C68" s="30">
        <v>0.79167824074074078</v>
      </c>
      <c r="D68" s="30">
        <v>0.875</v>
      </c>
      <c r="E68" s="3" t="s">
        <v>64</v>
      </c>
      <c r="F68" s="2" t="s">
        <v>7</v>
      </c>
      <c r="G68" s="40">
        <f>C49*40%</f>
        <v>190.82857142857148</v>
      </c>
      <c r="H68" s="40">
        <f>C49*70%</f>
        <v>333.95000000000005</v>
      </c>
      <c r="I68" s="3">
        <f>C50*40%</f>
        <v>1736.5400000000002</v>
      </c>
      <c r="J68" s="3">
        <f>C50*70%</f>
        <v>3038.9450000000002</v>
      </c>
      <c r="K68" s="40">
        <f>$C$51*40%</f>
        <v>111.62674094707521</v>
      </c>
      <c r="L68" s="40">
        <f>$C$51*70%</f>
        <v>195.34679665738159</v>
      </c>
      <c r="M68" s="3">
        <f>$C$52*40%</f>
        <v>11.320338983050849</v>
      </c>
      <c r="N68" s="3">
        <f>$C$52*70%</f>
        <v>19.810593220338983</v>
      </c>
      <c r="O68" s="40">
        <f>$C$53*40%</f>
        <v>15.902380952380955</v>
      </c>
      <c r="P68" s="40">
        <f>$C$53*70%</f>
        <v>27.829166666666669</v>
      </c>
      <c r="Q68" s="25">
        <f>D49*40%</f>
        <v>0</v>
      </c>
      <c r="R68" s="25">
        <f>D49*70%</f>
        <v>0</v>
      </c>
      <c r="S68" s="40">
        <f>D50*40%</f>
        <v>801.48</v>
      </c>
      <c r="T68" s="40">
        <f>D50*70%</f>
        <v>1402.5899999999997</v>
      </c>
      <c r="U68" s="3">
        <f>$D$51*40%</f>
        <v>372.08913649025072</v>
      </c>
      <c r="V68" s="3">
        <f>$D$51*70%</f>
        <v>651.15598885793872</v>
      </c>
      <c r="W68" s="40">
        <f>$D$52*40%</f>
        <v>22.640677966101698</v>
      </c>
      <c r="X68" s="40">
        <f>$D$52*70%</f>
        <v>39.621186440677967</v>
      </c>
      <c r="Y68" s="3">
        <f>$D$53*40%</f>
        <v>31.804761904761911</v>
      </c>
      <c r="Z68" s="3">
        <f>$D$53*70%</f>
        <v>55.658333333333339</v>
      </c>
      <c r="AA68" s="40">
        <f>E49*40%</f>
        <v>211.44525547445255</v>
      </c>
      <c r="AB68" s="40">
        <f>E49*70%</f>
        <v>370.02919708029196</v>
      </c>
      <c r="AC68" s="3">
        <f>E50*40%</f>
        <v>2607.1200000000003</v>
      </c>
      <c r="AD68" s="3">
        <f>E50*70%</f>
        <v>4562.46</v>
      </c>
      <c r="AE68" s="40">
        <f>$E$51*40%</f>
        <v>0</v>
      </c>
      <c r="AF68" s="40">
        <f>$E$51*70%</f>
        <v>0</v>
      </c>
      <c r="AG68" s="3">
        <v>0</v>
      </c>
      <c r="AH68" s="3">
        <v>0</v>
      </c>
      <c r="AI68" s="40">
        <v>0</v>
      </c>
      <c r="AJ68" s="40">
        <v>0</v>
      </c>
      <c r="AK68" s="25">
        <v>0</v>
      </c>
      <c r="AL68" s="25">
        <v>0</v>
      </c>
      <c r="AM68" s="40">
        <f>F50*40%</f>
        <v>1158.72</v>
      </c>
      <c r="AN68" s="40">
        <f>F50*70%</f>
        <v>2027.76</v>
      </c>
      <c r="AO68" s="3">
        <f>$F$51*40%</f>
        <v>423.50877192982466</v>
      </c>
      <c r="AP68" s="3">
        <f>$F$51*70%</f>
        <v>741.14035087719299</v>
      </c>
      <c r="AQ68" s="40">
        <f>$F$52*40%</f>
        <v>13.084010840108403</v>
      </c>
      <c r="AR68" s="40">
        <f>$F$52*70%</f>
        <v>22.897018970189702</v>
      </c>
      <c r="AS68" s="3">
        <f>$F$53*40%</f>
        <v>17.62043795620438</v>
      </c>
      <c r="AT68" s="3">
        <f>$F$53*70%</f>
        <v>30.835766423357661</v>
      </c>
      <c r="AU68" s="25">
        <v>0</v>
      </c>
      <c r="AV68" s="25">
        <v>0</v>
      </c>
      <c r="AW68" s="40">
        <f>P50*40%</f>
        <v>0</v>
      </c>
      <c r="AX68" s="40">
        <f>P50*70%</f>
        <v>0</v>
      </c>
      <c r="AY68" s="3">
        <f>$G$51*40%</f>
        <v>677.52046783625747</v>
      </c>
      <c r="AZ68" s="3">
        <f>$G$51*70%</f>
        <v>1185.6608187134502</v>
      </c>
      <c r="BA68" s="40">
        <f>$G$52*40%</f>
        <v>26.164408310749778</v>
      </c>
      <c r="BB68" s="40">
        <f>$G$52*70%</f>
        <v>45.7877145438121</v>
      </c>
      <c r="BC68" s="3">
        <f>$G$53*40%</f>
        <v>35.236009732360095</v>
      </c>
      <c r="BD68" s="3">
        <f>$G$53*70%</f>
        <v>61.663017031630162</v>
      </c>
    </row>
    <row r="69" spans="2:56" ht="17" x14ac:dyDescent="0.2">
      <c r="B69" s="29">
        <v>45931</v>
      </c>
      <c r="C69" s="30">
        <v>0.87501157407407415</v>
      </c>
      <c r="D69" s="30">
        <v>0.91666666666666663</v>
      </c>
      <c r="E69" s="3" t="s">
        <v>62</v>
      </c>
      <c r="F69" s="2" t="s">
        <v>5</v>
      </c>
      <c r="G69" s="40">
        <f>C49*15%</f>
        <v>71.560714285714297</v>
      </c>
      <c r="H69" s="40">
        <f>C49*40%</f>
        <v>190.82857142857148</v>
      </c>
      <c r="I69" s="3">
        <f>C50*15%</f>
        <v>651.20249999999999</v>
      </c>
      <c r="J69" s="3">
        <f>C50*40%</f>
        <v>1736.5400000000002</v>
      </c>
      <c r="K69" s="40">
        <f>$C$51*15%</f>
        <v>41.860027855153199</v>
      </c>
      <c r="L69" s="40">
        <f>$C$51*40%</f>
        <v>111.62674094707521</v>
      </c>
      <c r="M69" s="3">
        <f>$C$52*15%</f>
        <v>4.245127118644068</v>
      </c>
      <c r="N69" s="3">
        <f>$C$52*40%</f>
        <v>11.320338983050849</v>
      </c>
      <c r="O69" s="40">
        <f>$C$53*15%</f>
        <v>5.9633928571428578</v>
      </c>
      <c r="P69" s="40">
        <f>$C$53*40%</f>
        <v>15.902380952380955</v>
      </c>
      <c r="Q69" s="25">
        <f>D49*15%</f>
        <v>0</v>
      </c>
      <c r="R69" s="25">
        <f>D49*40%</f>
        <v>0</v>
      </c>
      <c r="S69" s="40">
        <f>D50*15%</f>
        <v>300.55499999999995</v>
      </c>
      <c r="T69" s="40">
        <f>D50*40%</f>
        <v>801.48</v>
      </c>
      <c r="U69" s="3">
        <f>$D$51*15%</f>
        <v>139.533426183844</v>
      </c>
      <c r="V69" s="3">
        <f>$D$51*40%</f>
        <v>372.08913649025072</v>
      </c>
      <c r="W69" s="40">
        <f>$D$52*15%</f>
        <v>8.490254237288136</v>
      </c>
      <c r="X69" s="40">
        <f>$D$52*40%</f>
        <v>22.640677966101698</v>
      </c>
      <c r="Y69" s="3">
        <f>$D$53*15%</f>
        <v>11.926785714285716</v>
      </c>
      <c r="Z69" s="3">
        <f>$D$53*40%</f>
        <v>31.804761904761911</v>
      </c>
      <c r="AA69" s="40">
        <f>E49*15%</f>
        <v>79.291970802919707</v>
      </c>
      <c r="AB69" s="40">
        <f>E49*40%</f>
        <v>211.44525547445255</v>
      </c>
      <c r="AC69" s="3">
        <f>E50*15%</f>
        <v>977.67</v>
      </c>
      <c r="AD69" s="3">
        <f>E50*40%</f>
        <v>2607.1200000000003</v>
      </c>
      <c r="AE69" s="40">
        <f>$E$51*15%</f>
        <v>0</v>
      </c>
      <c r="AF69" s="40">
        <f>$E$51*40%</f>
        <v>0</v>
      </c>
      <c r="AG69" s="3">
        <v>0</v>
      </c>
      <c r="AH69" s="3">
        <v>0</v>
      </c>
      <c r="AI69" s="40">
        <v>0</v>
      </c>
      <c r="AJ69" s="40">
        <v>0</v>
      </c>
      <c r="AK69" s="25">
        <v>0</v>
      </c>
      <c r="AL69" s="25">
        <v>0</v>
      </c>
      <c r="AM69" s="40">
        <f>F50*15%</f>
        <v>434.52000000000004</v>
      </c>
      <c r="AN69" s="40">
        <f>F50*40%</f>
        <v>1158.72</v>
      </c>
      <c r="AO69" s="3">
        <f>$F$51*15%</f>
        <v>158.81578947368422</v>
      </c>
      <c r="AP69" s="3">
        <f>$F$51*40%</f>
        <v>423.50877192982466</v>
      </c>
      <c r="AQ69" s="40">
        <f>$F$52*15%</f>
        <v>4.9065040650406511</v>
      </c>
      <c r="AR69" s="40">
        <f>$F$52*40%</f>
        <v>13.084010840108403</v>
      </c>
      <c r="AS69" s="3">
        <f>$F$53*15%</f>
        <v>6.6076642335766413</v>
      </c>
      <c r="AT69" s="3">
        <f>$F$53*40%</f>
        <v>17.62043795620438</v>
      </c>
      <c r="AU69" s="25">
        <v>0</v>
      </c>
      <c r="AV69" s="25">
        <v>0</v>
      </c>
      <c r="AW69" s="40">
        <f>P50*15%</f>
        <v>0</v>
      </c>
      <c r="AX69" s="40">
        <f>P50*40%</f>
        <v>0</v>
      </c>
      <c r="AY69" s="3">
        <f>$G$51*15%</f>
        <v>254.07017543859649</v>
      </c>
      <c r="AZ69" s="3">
        <f>$G$51*40%</f>
        <v>677.52046783625747</v>
      </c>
      <c r="BA69" s="40">
        <f>$G$52*15%</f>
        <v>9.8116531165311649</v>
      </c>
      <c r="BB69" s="40">
        <f>$G$52*40%</f>
        <v>26.164408310749778</v>
      </c>
      <c r="BC69" s="3">
        <f>$G$53*15%</f>
        <v>13.213503649635035</v>
      </c>
      <c r="BD69" s="3">
        <f>$G$53*40%</f>
        <v>35.236009732360095</v>
      </c>
    </row>
    <row r="70" spans="2:56" ht="17" x14ac:dyDescent="0.2">
      <c r="B70" s="29">
        <v>45931</v>
      </c>
      <c r="C70" s="30">
        <v>0.91667824074074078</v>
      </c>
      <c r="D70" s="30">
        <v>0.99998842592592585</v>
      </c>
      <c r="E70" s="3" t="s">
        <v>57</v>
      </c>
      <c r="F70" s="2" t="s">
        <v>69</v>
      </c>
      <c r="G70" s="40">
        <f>0</f>
        <v>0</v>
      </c>
      <c r="H70" s="40">
        <f>C49*15%</f>
        <v>71.560714285714297</v>
      </c>
      <c r="I70" s="3">
        <v>0</v>
      </c>
      <c r="J70" s="3">
        <f>C50*15%</f>
        <v>651.20249999999999</v>
      </c>
      <c r="K70" s="40">
        <v>0</v>
      </c>
      <c r="L70" s="40">
        <f>$C$51*15%</f>
        <v>41.860027855153199</v>
      </c>
      <c r="M70" s="3">
        <v>0</v>
      </c>
      <c r="N70" s="3">
        <f>$C$52*15%</f>
        <v>4.245127118644068</v>
      </c>
      <c r="O70" s="40">
        <v>0</v>
      </c>
      <c r="P70" s="40">
        <f>$C$53*15%</f>
        <v>5.9633928571428578</v>
      </c>
      <c r="Q70" s="25">
        <f>0</f>
        <v>0</v>
      </c>
      <c r="R70" s="25">
        <f>D49*15%</f>
        <v>0</v>
      </c>
      <c r="S70" s="40">
        <v>0</v>
      </c>
      <c r="T70" s="40">
        <f>D50*15%</f>
        <v>300.55499999999995</v>
      </c>
      <c r="U70" s="3">
        <v>0</v>
      </c>
      <c r="V70" s="3">
        <f>$D$51*15%</f>
        <v>139.533426183844</v>
      </c>
      <c r="W70" s="40">
        <v>0</v>
      </c>
      <c r="X70" s="40">
        <f>$D$52*15%</f>
        <v>8.490254237288136</v>
      </c>
      <c r="Y70" s="3">
        <v>0</v>
      </c>
      <c r="Z70" s="3">
        <f>$D$53*15%</f>
        <v>11.926785714285716</v>
      </c>
      <c r="AA70" s="40">
        <f>0</f>
        <v>0</v>
      </c>
      <c r="AB70" s="40">
        <f>E49*15%</f>
        <v>79.291970802919707</v>
      </c>
      <c r="AC70" s="3">
        <v>0</v>
      </c>
      <c r="AD70" s="3">
        <f>E50*15%</f>
        <v>977.67</v>
      </c>
      <c r="AE70" s="40">
        <v>0</v>
      </c>
      <c r="AF70" s="40">
        <f>$E$51*15%</f>
        <v>0</v>
      </c>
      <c r="AG70" s="3">
        <v>0</v>
      </c>
      <c r="AH70" s="3">
        <v>0</v>
      </c>
      <c r="AI70" s="40">
        <v>0</v>
      </c>
      <c r="AJ70" s="40">
        <v>0</v>
      </c>
      <c r="AK70" s="25">
        <v>0</v>
      </c>
      <c r="AL70" s="25">
        <v>0</v>
      </c>
      <c r="AM70" s="40">
        <v>0</v>
      </c>
      <c r="AN70" s="40">
        <f>F50*15%</f>
        <v>434.52000000000004</v>
      </c>
      <c r="AO70" s="3">
        <v>0</v>
      </c>
      <c r="AP70" s="3">
        <f>$F$51*15%</f>
        <v>158.81578947368422</v>
      </c>
      <c r="AQ70" s="40">
        <v>0</v>
      </c>
      <c r="AR70" s="40">
        <f>$F$52*15%</f>
        <v>4.9065040650406511</v>
      </c>
      <c r="AS70" s="3">
        <v>0</v>
      </c>
      <c r="AT70" s="3">
        <f>$F$53*15%</f>
        <v>6.6076642335766413</v>
      </c>
      <c r="AU70" s="25">
        <v>0</v>
      </c>
      <c r="AV70" s="25">
        <v>0</v>
      </c>
      <c r="AW70" s="40">
        <v>0</v>
      </c>
      <c r="AX70" s="40">
        <f>P50*15%</f>
        <v>0</v>
      </c>
      <c r="AY70" s="3">
        <v>0</v>
      </c>
      <c r="AZ70" s="3">
        <f>$G$51*15%</f>
        <v>254.07017543859649</v>
      </c>
      <c r="BA70" s="40">
        <v>0</v>
      </c>
      <c r="BB70" s="40">
        <f>$G$52*15%</f>
        <v>9.8116531165311649</v>
      </c>
      <c r="BC70" s="3">
        <v>0</v>
      </c>
      <c r="BD70" s="3">
        <f>$G$53*15%</f>
        <v>13.213503649635035</v>
      </c>
    </row>
    <row r="75" spans="2:56" x14ac:dyDescent="0.2">
      <c r="B75" t="s">
        <v>72</v>
      </c>
    </row>
    <row r="76" spans="2:56" x14ac:dyDescent="0.2">
      <c r="B76" t="s">
        <v>73</v>
      </c>
      <c r="C76" t="s">
        <v>74</v>
      </c>
    </row>
  </sheetData>
  <mergeCells count="28">
    <mergeCell ref="BC58:BD58"/>
    <mergeCell ref="AQ58:AR58"/>
    <mergeCell ref="AS58:AT58"/>
    <mergeCell ref="AU58:AV58"/>
    <mergeCell ref="AW58:AX58"/>
    <mergeCell ref="AY58:AZ58"/>
    <mergeCell ref="BA58:BB58"/>
    <mergeCell ref="AE58:AF58"/>
    <mergeCell ref="AG58:AH58"/>
    <mergeCell ref="AI58:AJ58"/>
    <mergeCell ref="AK58:AL58"/>
    <mergeCell ref="AM58:AN58"/>
    <mergeCell ref="AO58:AP58"/>
    <mergeCell ref="S58:T58"/>
    <mergeCell ref="U58:V58"/>
    <mergeCell ref="W58:X58"/>
    <mergeCell ref="Y58:Z58"/>
    <mergeCell ref="AA58:AB58"/>
    <mergeCell ref="AC58:AD58"/>
    <mergeCell ref="O58:P58"/>
    <mergeCell ref="G58:H58"/>
    <mergeCell ref="I58:J58"/>
    <mergeCell ref="K58:L58"/>
    <mergeCell ref="M58:N58"/>
    <mergeCell ref="Q58:R58"/>
    <mergeCell ref="C21:E21"/>
    <mergeCell ref="F21:K21"/>
    <mergeCell ref="B47:B48"/>
  </mergeCells>
  <pageMargins left="0.7" right="0.7" top="0.75" bottom="0.75" header="0.3" footer="0.3"/>
  <ignoredErrors>
    <ignoredError sqref="K65:N6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lập khung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2026-04-03T04:33:19Z</dcterms:created>
  <dcterms:modified xsi:type="dcterms:W3CDTF">2026-04-03T06:34:08Z</dcterms:modified>
</cp:coreProperties>
</file>